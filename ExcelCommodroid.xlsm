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workbook"/>
  <mc:AlternateContent xmlns:mc="http://schemas.openxmlformats.org/markup-compatibility/2006">
    <mc:Choice Requires="x15">
      <x15ac:absPath xmlns:x15ac="http://schemas.microsoft.com/office/spreadsheetml/2010/11/ac" url="C:\Users\spwil\Documents\Commodore\Projects - Commodroid\ExcelCommodroid\"/>
    </mc:Choice>
  </mc:AlternateContent>
  <xr:revisionPtr revIDLastSave="0" documentId="13_ncr:1_{6D6A8EB3-0951-47F0-B936-CAB50C96486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64" sheetId="1" r:id="rId1"/>
    <sheet name="vic20" sheetId="3" r:id="rId2"/>
    <sheet name="settings" sheetId="2" r:id="rId3"/>
  </sheets>
  <functionGroups builtInGroupCount="19"/>
  <definedNames>
    <definedName name="_xlnm._FilterDatabase" localSheetId="0" hidden="1">'c64'!$B$3:$E$124</definedName>
    <definedName name="_xlnm._FilterDatabase" localSheetId="1" hidden="1">'vic20'!$B$3:$E$55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A2" i="1"/>
  <c r="C1" i="3" l="1"/>
  <c r="C1" i="1"/>
  <c r="C2" i="3"/>
  <c r="C2" i="1"/>
</calcChain>
</file>

<file path=xl/sharedStrings.xml><?xml version="1.0" encoding="utf-8"?>
<sst xmlns="http://schemas.openxmlformats.org/spreadsheetml/2006/main" count="674" uniqueCount="294">
  <si>
    <t>Key</t>
  </si>
  <si>
    <t>Value</t>
  </si>
  <si>
    <t>Description</t>
  </si>
  <si>
    <t>C:/Users/spwil/Documents/Commodore/AppMedia/</t>
  </si>
  <si>
    <t>Windows COM port, 3 = COM3</t>
  </si>
  <si>
    <t>9|18|19|20</t>
  </si>
  <si>
    <t>Atn Clock Data Reset Pins on Arduino</t>
  </si>
  <si>
    <t>COMPORT</t>
  </si>
  <si>
    <t>PINS</t>
  </si>
  <si>
    <t>MEDIA_FOLDER</t>
  </si>
  <si>
    <t>Base media folder with c64, c64/art, vic20, vic20/art sub-folders</t>
  </si>
  <si>
    <t>Program</t>
  </si>
  <si>
    <t>Biplanes.prg</t>
  </si>
  <si>
    <t>Druid.prg</t>
  </si>
  <si>
    <t>Fix-it Felix Jr.prg</t>
  </si>
  <si>
    <t>Fort Apocalypse 2.prg</t>
  </si>
  <si>
    <t>Get Em DX.prg</t>
  </si>
  <si>
    <t>Grid Pix.prg</t>
  </si>
  <si>
    <t>Kobo 64.prg</t>
  </si>
  <si>
    <t>Night Knight.prg</t>
  </si>
  <si>
    <t>Old Tower.prg</t>
  </si>
  <si>
    <t>Rampage.prg</t>
  </si>
  <si>
    <t>Robot Jet Action.prg</t>
  </si>
  <si>
    <t>Robots Rumble.prg</t>
  </si>
  <si>
    <t>Shallow Domains.prg</t>
  </si>
  <si>
    <t>Tenebra Macabre.prg</t>
  </si>
  <si>
    <t>Veggies vs Undead.prg</t>
  </si>
  <si>
    <t>Alien Blitz.prg</t>
  </si>
  <si>
    <t>Unexpanded</t>
  </si>
  <si>
    <t>Memory expansion Dip ALL OFF   load"*",8   run</t>
  </si>
  <si>
    <t>Amok.prg</t>
  </si>
  <si>
    <t>Arcadia.prg</t>
  </si>
  <si>
    <t>8K</t>
  </si>
  <si>
    <t>Memory expansion Dip ALL ON   load"*",8,1   sys64802</t>
  </si>
  <si>
    <t>Astro Nell.prg</t>
  </si>
  <si>
    <t>Astroblitz.prg</t>
  </si>
  <si>
    <t>4K</t>
  </si>
  <si>
    <t>Atlantis.prg</t>
  </si>
  <si>
    <t>Attack of the Mutant Camels.prg</t>
  </si>
  <si>
    <t>Avenger.prg</t>
  </si>
  <si>
    <t>Bandits.prg</t>
  </si>
  <si>
    <t>Black Hole.prg</t>
  </si>
  <si>
    <t>Blitz.prg</t>
  </si>
  <si>
    <t>Capture the Flag.prg</t>
  </si>
  <si>
    <t>Choplifter.prg</t>
  </si>
  <si>
    <t>Cosmic Cruncher.prg</t>
  </si>
  <si>
    <t>Demon Attack.prg</t>
  </si>
  <si>
    <t>Dragonfire.prg</t>
  </si>
  <si>
    <t>Final Orbit.prg</t>
  </si>
  <si>
    <t>Galaxian.prg</t>
  </si>
  <si>
    <t>Get More Diamonds.prg</t>
  </si>
  <si>
    <t>35K</t>
  </si>
  <si>
    <t>Memory expansion Dip ALL ON   load"*",8   run</t>
  </si>
  <si>
    <t>Gridrunner.prg</t>
  </si>
  <si>
    <t>Help Bodge.prg</t>
  </si>
  <si>
    <t>Jelly Monsters.prg</t>
  </si>
  <si>
    <t>Jetpac.prg</t>
  </si>
  <si>
    <t>Laser Zone.prg</t>
  </si>
  <si>
    <t>Manic Miner.prg</t>
  </si>
  <si>
    <t>24K</t>
  </si>
  <si>
    <t>Metagalactic Llamas.prg</t>
  </si>
  <si>
    <t>Mickey the Bricky.prg</t>
  </si>
  <si>
    <t>Memory expansion Dip ALL OFF   load"*"</t>
  </si>
  <si>
    <t>Moons of Jupiter.prg</t>
  </si>
  <si>
    <t>Memory expansion Dip ALL ON   load"*",8,1   run</t>
  </si>
  <si>
    <t>Mosquito Infestation.prg</t>
  </si>
  <si>
    <t>Nibbler.prg</t>
  </si>
  <si>
    <t>3K</t>
  </si>
  <si>
    <t>Memory expansion Dip 6,7,8 ON   load"*",8   run</t>
  </si>
  <si>
    <t>Omega Race.prg</t>
  </si>
  <si>
    <t>Pac-Man.prg</t>
  </si>
  <si>
    <t>Perils of Willy.prg</t>
  </si>
  <si>
    <t>16K</t>
  </si>
  <si>
    <t>Polaris.prg</t>
  </si>
  <si>
    <t>Pool.prg</t>
  </si>
  <si>
    <t>Pumpkid.prg</t>
  </si>
  <si>
    <t>Radar Rat Race.prg</t>
  </si>
  <si>
    <t>Rigel Attack.prg</t>
  </si>
  <si>
    <t>Rodman.prg</t>
  </si>
  <si>
    <t>Sargon 2 Chess.prg</t>
  </si>
  <si>
    <t>Satellites and Meteorites.prg</t>
  </si>
  <si>
    <t>Scorpion.prg</t>
  </si>
  <si>
    <t>Serpentine.prg</t>
  </si>
  <si>
    <t>Shamus.prg</t>
  </si>
  <si>
    <t>Skramble.prg</t>
  </si>
  <si>
    <t>Spider City.prg</t>
  </si>
  <si>
    <t>Star Battle.prg</t>
  </si>
  <si>
    <t>Star Defence.prg</t>
  </si>
  <si>
    <t>Memory expansion Dip ALL ON   load"*",8   run   F1 to start</t>
  </si>
  <si>
    <t>Super Amok.prg</t>
  </si>
  <si>
    <t>Sword of Fargoal.prg</t>
  </si>
  <si>
    <t>TenTen.prg</t>
  </si>
  <si>
    <t>Tetris Deluxe.prg</t>
  </si>
  <si>
    <t>Favourite</t>
  </si>
  <si>
    <t>Memory</t>
  </si>
  <si>
    <t>Notes</t>
  </si>
  <si>
    <t>Joystick</t>
  </si>
  <si>
    <t>Yes</t>
  </si>
  <si>
    <t>Joystick 2</t>
  </si>
  <si>
    <t>Joystick 1</t>
  </si>
  <si>
    <t>1942.d64</t>
  </si>
  <si>
    <t>Abbaye Des Morts.d64</t>
  </si>
  <si>
    <t>Arc of Yesod.d64</t>
  </si>
  <si>
    <t>Archon 2.d64</t>
  </si>
  <si>
    <t>Archon.d64</t>
  </si>
  <si>
    <t>Arkanoid.d64</t>
  </si>
  <si>
    <t>Armalyte.d64</t>
  </si>
  <si>
    <t>Bagman.d64</t>
  </si>
  <si>
    <t>Barbarian 2.d64</t>
  </si>
  <si>
    <t>Barbarian.d64</t>
  </si>
  <si>
    <t>Battle Ships.d64</t>
  </si>
  <si>
    <t>Beach Head 2.d64</t>
  </si>
  <si>
    <t>Beach Head.d64</t>
  </si>
  <si>
    <t>Biggles.d64</t>
  </si>
  <si>
    <t>Blue Max.d64</t>
  </si>
  <si>
    <t>Bomb Jack.d64</t>
  </si>
  <si>
    <t>Boulder Dash 2.d64</t>
  </si>
  <si>
    <t>Boulder Dash 3.d64</t>
  </si>
  <si>
    <t>Boulder Dash.d64</t>
  </si>
  <si>
    <t>Bruce Lee Return of Fury.d64</t>
  </si>
  <si>
    <t>Bruce Lee.d64</t>
  </si>
  <si>
    <t>Bubble Bobble.d64</t>
  </si>
  <si>
    <t>Burnin Rubber.d64</t>
  </si>
  <si>
    <t>C64anabalt.d64</t>
  </si>
  <si>
    <t>Cab Hustle.d64</t>
  </si>
  <si>
    <t>Cauldron.d64</t>
  </si>
  <si>
    <t>Cliff Hanger.d64</t>
  </si>
  <si>
    <t>Colossus Chess 4.d64</t>
  </si>
  <si>
    <t>Commando.d64</t>
  </si>
  <si>
    <t>Defender.d64</t>
  </si>
  <si>
    <t>Desert Fox.d64</t>
  </si>
  <si>
    <t>Dino Eggs.d64</t>
  </si>
  <si>
    <t>Doc Cosmos.d64</t>
  </si>
  <si>
    <t>Donkey Kong Junior.d64</t>
  </si>
  <si>
    <t>Donkey Kong.d64</t>
  </si>
  <si>
    <t>Elite.d64</t>
  </si>
  <si>
    <t>Emlyn Hughes Soccer.d64</t>
  </si>
  <si>
    <t>Empire Strikes Back.d64</t>
  </si>
  <si>
    <t>Enforcer.d64</t>
  </si>
  <si>
    <t>Fist 2.d64</t>
  </si>
  <si>
    <t>Football Manager.d64</t>
  </si>
  <si>
    <t>Galencia.d64</t>
  </si>
  <si>
    <t>Ghostbusters.d64</t>
  </si>
  <si>
    <t>Ghosts 'n Goblins.d64</t>
  </si>
  <si>
    <t>Green Beret.d64</t>
  </si>
  <si>
    <t>Gumshoe.d64</t>
  </si>
  <si>
    <t>Hard 'n' Heavy.d64</t>
  </si>
  <si>
    <t>Heli Rescue.d64</t>
  </si>
  <si>
    <t>Iceblox.d64</t>
  </si>
  <si>
    <t>Impossible Mission 2.d64</t>
  </si>
  <si>
    <t>Impossible Mission.d64</t>
  </si>
  <si>
    <t>International Football.d64</t>
  </si>
  <si>
    <t>International Karate Plus.d64</t>
  </si>
  <si>
    <t>International Karate.d64</t>
  </si>
  <si>
    <t>Invert.d64</t>
  </si>
  <si>
    <t>Lady Pac.d64</t>
  </si>
  <si>
    <t>Last Ninja 2.s1.d64</t>
  </si>
  <si>
    <t>Last Ninja 2.s2.d64</t>
  </si>
  <si>
    <t>Last Ninja.s1.d64</t>
  </si>
  <si>
    <t>Last Ninja.s2.d64</t>
  </si>
  <si>
    <t>Lode Runner.d64</t>
  </si>
  <si>
    <t>Mayhem in Monsterland.d64</t>
  </si>
  <si>
    <t>Microprose Soccer.d64</t>
  </si>
  <si>
    <t>Mike Mech.d64</t>
  </si>
  <si>
    <t>Millie and Molly.d64</t>
  </si>
  <si>
    <t>Moon Cresta.d64</t>
  </si>
  <si>
    <t>Nebulus.d64</t>
  </si>
  <si>
    <t>Orbital Rescue.d64</t>
  </si>
  <si>
    <t>Outrun.d64</t>
  </si>
  <si>
    <t>Oyup.d64</t>
  </si>
  <si>
    <t>Pacman Arcade.d64</t>
  </si>
  <si>
    <t>Pac-Man.d64</t>
  </si>
  <si>
    <t>Paperboy.d64</t>
  </si>
  <si>
    <t>Paradroid.d64</t>
  </si>
  <si>
    <t>Pitstop 2.d64</t>
  </si>
  <si>
    <t>Pooyan.d64</t>
  </si>
  <si>
    <t>Popeye.d64</t>
  </si>
  <si>
    <t>Qix.d64</t>
  </si>
  <si>
    <t>Raid Over Moscow.d64</t>
  </si>
  <si>
    <t>Rally Speedway.d64</t>
  </si>
  <si>
    <t>Rambo First Blood Part 2.d64</t>
  </si>
  <si>
    <t>Rick Dangerous.d64</t>
  </si>
  <si>
    <t>Robin of the Wood.d64</t>
  </si>
  <si>
    <t>Rodland.d64</t>
  </si>
  <si>
    <t>R-Type.d64</t>
  </si>
  <si>
    <t>Showdown.d64</t>
  </si>
  <si>
    <t>Snafu 64.d64</t>
  </si>
  <si>
    <t>Solomon's Key.d64</t>
  </si>
  <si>
    <t>Spy Hunter.d64</t>
  </si>
  <si>
    <t>Spy vs Spy 2.d64</t>
  </si>
  <si>
    <t>Spy vs Spy 3.d64</t>
  </si>
  <si>
    <t>Spy vs Spy.d64</t>
  </si>
  <si>
    <t>Sub Hunter.d64</t>
  </si>
  <si>
    <t>Super Mario Bros.d64</t>
  </si>
  <si>
    <t>Super Pipeline 2.d64</t>
  </si>
  <si>
    <t>Super Pipeline.d64</t>
  </si>
  <si>
    <t>Great Giana Sisters.d64</t>
  </si>
  <si>
    <t>Train Escape to Normandy.d64</t>
  </si>
  <si>
    <t>Tutankham Returns.d64</t>
  </si>
  <si>
    <t>Uridium.d64</t>
  </si>
  <si>
    <t>Volfied.d64</t>
  </si>
  <si>
    <t>Way of the Exploding Fist.d64</t>
  </si>
  <si>
    <t>Who Dares Wins 2.d64</t>
  </si>
  <si>
    <t>Who Dares Wins.d64</t>
  </si>
  <si>
    <t>Wizard of Wor.d64</t>
  </si>
  <si>
    <t>Wizball.d64</t>
  </si>
  <si>
    <t>Yie Ar Kung-Fu.d64</t>
  </si>
  <si>
    <t>Keyboard</t>
  </si>
  <si>
    <t>Adventure Land.d64</t>
  </si>
  <si>
    <t>AE.d64</t>
  </si>
  <si>
    <t>Battlezone.d64</t>
  </si>
  <si>
    <t>Buck Rogers.d64</t>
  </si>
  <si>
    <t>Cheese and Onion.d64</t>
  </si>
  <si>
    <t>32K</t>
  </si>
  <si>
    <t>Creepy Corridors.d64</t>
  </si>
  <si>
    <t>Escape 2020.d64</t>
  </si>
  <si>
    <t>Memory expansion Dip ALL OFF   load"*",8,1   run</t>
  </si>
  <si>
    <t>Hero.d64</t>
  </si>
  <si>
    <t>Lala Prologue.d64</t>
  </si>
  <si>
    <t>Miner 2049er.d64</t>
  </si>
  <si>
    <t>Mission Impossible.d64</t>
  </si>
  <si>
    <t>Moon Patrol.d64</t>
  </si>
  <si>
    <t>Mountain King.d64</t>
  </si>
  <si>
    <t>Ms Pac-Man.d64</t>
  </si>
  <si>
    <t>Pentagorat.d64</t>
  </si>
  <si>
    <t>Pharaoh's Curse.d64</t>
  </si>
  <si>
    <t>Pirate Cove.d64</t>
  </si>
  <si>
    <t>Robotron.d64</t>
  </si>
  <si>
    <t>Robots Rumble.d64</t>
  </si>
  <si>
    <t>Rockman.d64</t>
  </si>
  <si>
    <t>Satellite Patrol.d64</t>
  </si>
  <si>
    <t>Seafox.d64</t>
  </si>
  <si>
    <t>Skyblazer.d64</t>
  </si>
  <si>
    <t>Spiders of Mars.d64</t>
  </si>
  <si>
    <t>Squish'em.d64</t>
  </si>
  <si>
    <t>Tenebra Macabre.d64</t>
  </si>
  <si>
    <t>The Count.d64</t>
  </si>
  <si>
    <t>Traxx.d64</t>
  </si>
  <si>
    <t>Tutankham.d64</t>
  </si>
  <si>
    <t>Video Vermin.d64</t>
  </si>
  <si>
    <t>Memory expansion Dip ALL ON   load"*",8 run</t>
  </si>
  <si>
    <t>Voodoo Castle.d64</t>
  </si>
  <si>
    <t>Zombie Calavera.d64</t>
  </si>
  <si>
    <t>Qix.t64</t>
  </si>
  <si>
    <t>Regression test candidate</t>
  </si>
  <si>
    <t>Uno</t>
  </si>
  <si>
    <t>Regression Test</t>
  </si>
  <si>
    <t>Lester.prg</t>
  </si>
  <si>
    <t>Missile Defence.prg</t>
  </si>
  <si>
    <t>Ooze.d64</t>
  </si>
  <si>
    <t>Alien 3.d64</t>
  </si>
  <si>
    <t>California Games.d64</t>
  </si>
  <si>
    <t>Dig Dug Revival.d64</t>
  </si>
  <si>
    <t>Ghouls 'n' Ghosts.d64</t>
  </si>
  <si>
    <t>Jumpman.d64</t>
  </si>
  <si>
    <t>Karateka.d64</t>
  </si>
  <si>
    <t>Raid On Bungeling Bay.d64</t>
  </si>
  <si>
    <t>Summer Games 2.s1.d64</t>
  </si>
  <si>
    <t>Summer Games 2.s2.d64</t>
  </si>
  <si>
    <t>Summer Games.d64</t>
  </si>
  <si>
    <t>Turrican.s1.d64</t>
  </si>
  <si>
    <t>Turrican.s2.d64</t>
  </si>
  <si>
    <t>Vegetables Deluxe.d64</t>
  </si>
  <si>
    <t>WinGames.d64</t>
  </si>
  <si>
    <t>Bolder Dan.d64</t>
  </si>
  <si>
    <t>Vic Doom.d64</t>
  </si>
  <si>
    <t>Boulder Dash Construction Kit.d64</t>
  </si>
  <si>
    <t>Burger Time.d64</t>
  </si>
  <si>
    <t>Drip.d64</t>
  </si>
  <si>
    <t>Impossible Mission Revised.d64</t>
  </si>
  <si>
    <t>Lock 'n' Chase.d64</t>
  </si>
  <si>
    <t>Manic Miner.d64</t>
  </si>
  <si>
    <t>Mediterranian Air War.prg</t>
  </si>
  <si>
    <t>Pengo.prg</t>
  </si>
  <si>
    <t>Penguin Tower.d64</t>
  </si>
  <si>
    <t>RallyX.d64</t>
  </si>
  <si>
    <t>Serpentine.d64</t>
  </si>
  <si>
    <t>Shamus.d64</t>
  </si>
  <si>
    <t>Space Pilot.d64</t>
  </si>
  <si>
    <t>Vampire Vengeance.d64</t>
  </si>
  <si>
    <t>Wolfling.prg</t>
  </si>
  <si>
    <t>Zeta Wing.d64</t>
  </si>
  <si>
    <t>Zuma.prg</t>
  </si>
  <si>
    <t>Chuckie Egg.prg</t>
  </si>
  <si>
    <t>Football Manager.prg</t>
  </si>
  <si>
    <t>Super Monza GP 2.prg</t>
  </si>
  <si>
    <t>Bruce Lee 2.d64</t>
  </si>
  <si>
    <t>Wizard of Wor.petscii.prg</t>
  </si>
  <si>
    <t>Pro Micro Beetle</t>
  </si>
  <si>
    <t>Mr Do.d64</t>
  </si>
  <si>
    <t>Random Pac.d64</t>
  </si>
  <si>
    <t>2|3|4|5</t>
  </si>
  <si>
    <t>Midnight Resistance.d64</t>
  </si>
  <si>
    <t>Space Station 23.d64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</si>
</sst>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B8A68E"/>
      <name val="Calibri"/>
      <family val="2"/>
      <scheme val="minor"/>
    </font>
    <font>
      <b/>
      <sz val="11"/>
      <color rgb="FFF4ECCD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B8A68E"/>
        <bgColor indexed="64"/>
      </patternFill>
    </fill>
    <fill>
      <patternFill patternType="solid">
        <fgColor rgb="FFF4ECCD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4" borderId="0" xfId="0" applyFill="1"/>
    <xf numFmtId="9" fontId="1" fillId="0" borderId="2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3" borderId="0" xfId="0" applyFill="1"/>
    <xf numFmtId="0" fontId="3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4ECCD"/>
      <color rgb="FFB8A6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22860</xdr:rowOff>
        </xdr:from>
        <xdr:to>
          <xdr:col>1</xdr:col>
          <xdr:colOff>1653540</xdr:colOff>
          <xdr:row>0</xdr:row>
          <xdr:rowOff>327660</xdr:rowOff>
        </xdr:to>
        <xdr:sp macro="" textlink="">
          <xdr:nvSpPr>
            <xdr:cNvPr id="1027" name="btnConnec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38100</xdr:rowOff>
        </xdr:from>
        <xdr:to>
          <xdr:col>0</xdr:col>
          <xdr:colOff>2377440</xdr:colOff>
          <xdr:row>2</xdr:row>
          <xdr:rowOff>342900</xdr:rowOff>
        </xdr:to>
        <xdr:sp macro="" textlink="">
          <xdr:nvSpPr>
            <xdr:cNvPr id="1028" name="btnShowAr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594360</xdr:colOff>
      <xdr:row>0</xdr:row>
      <xdr:rowOff>60960</xdr:rowOff>
    </xdr:from>
    <xdr:to>
      <xdr:col>0</xdr:col>
      <xdr:colOff>2880558</xdr:colOff>
      <xdr:row>0</xdr:row>
      <xdr:rowOff>304821</xdr:rowOff>
    </xdr:to>
    <xdr:pic>
      <xdr:nvPicPr>
        <xdr:cNvPr id="1311" name="Picture 1310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" y="60960"/>
          <a:ext cx="2286198" cy="2438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30480</xdr:rowOff>
        </xdr:from>
        <xdr:to>
          <xdr:col>1</xdr:col>
          <xdr:colOff>1653540</xdr:colOff>
          <xdr:row>0</xdr:row>
          <xdr:rowOff>335280</xdr:rowOff>
        </xdr:to>
        <xdr:sp macro="" textlink="">
          <xdr:nvSpPr>
            <xdr:cNvPr id="2051" name="btnConnec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594360</xdr:colOff>
      <xdr:row>0</xdr:row>
      <xdr:rowOff>68580</xdr:rowOff>
    </xdr:from>
    <xdr:to>
      <xdr:col>0</xdr:col>
      <xdr:colOff>2880558</xdr:colOff>
      <xdr:row>0</xdr:row>
      <xdr:rowOff>312441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" y="68580"/>
          <a:ext cx="2286198" cy="2438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1089660</xdr:colOff>
          <xdr:row>2</xdr:row>
          <xdr:rowOff>30480</xdr:rowOff>
        </xdr:from>
        <xdr:to>
          <xdr:col>0</xdr:col>
          <xdr:colOff>2362200</xdr:colOff>
          <xdr:row>2</xdr:row>
          <xdr:rowOff>335280</xdr:rowOff>
        </xdr:to>
        <xdr:sp macro="" textlink="">
          <xdr:nvSpPr>
            <xdr:cNvPr id="2052" name="btnShowArt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3</xdr:row>
          <xdr:rowOff>45720</xdr:rowOff>
        </xdr:from>
        <xdr:to>
          <xdr:col>3</xdr:col>
          <xdr:colOff>1379220</xdr:colOff>
          <xdr:row>3</xdr:row>
          <xdr:rowOff>327660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List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64">
    <tabColor rgb="FFB8A68E"/>
  </sheetPr>
  <dimension ref="A1:E200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0" sqref="B20"/>
    </sheetView>
  </sheetViews>
  <sheetFormatPr defaultRowHeight="14.4" x14ac:dyDescent="0.3"/>
  <cols>
    <col min="1" max="1" width="50.77734375" customWidth="1"/>
    <col min="2" max="2" width="30.77734375" customWidth="1"/>
    <col min="3" max="4" width="15.77734375" customWidth="1"/>
    <col min="5" max="5" width="50.77734375" customWidth="1"/>
  </cols>
  <sheetData>
    <row r="1" spans="1:5" ht="28.8" customHeight="1" thickBot="1" x14ac:dyDescent="0.35">
      <c r="A1" s="10"/>
      <c r="B1" s="7"/>
      <c r="C1" s="6">
        <f>D2/D1</f>
        <v>0</v>
      </c>
      <c r="D1" s="12">
        <v>174848</v>
      </c>
      <c r="E1" s="10"/>
    </row>
    <row r="2" spans="1:5" ht="28.8" customHeight="1" thickBot="1" x14ac:dyDescent="0.35">
      <c r="A2" s="10" t="str">
        <f>IF(ISBLANK(B2),"",_xlfn.XLOOKUP(B2,B4:B9998,B4:B9998,""))</f>
        <v>Blue Max.d64</v>
      </c>
      <c r="B2" s="7" t="s">
        <v>114</v>
      </c>
      <c r="C2" s="7" t="str">
        <f>D2&amp;"/"&amp;D1</f>
        <v>0/174848</v>
      </c>
      <c r="D2" s="12">
        <v>0</v>
      </c>
      <c r="E2" s="11"/>
    </row>
    <row r="3" spans="1:5" ht="28.8" customHeight="1" x14ac:dyDescent="0.3">
      <c r="A3" s="10"/>
      <c r="B3" s="10" t="s">
        <v>11</v>
      </c>
      <c r="C3" s="10" t="s">
        <v>93</v>
      </c>
      <c r="D3" s="10" t="s">
        <v>96</v>
      </c>
      <c r="E3" s="10" t="s">
        <v>95</v>
      </c>
    </row>
    <row r="4" spans="1:5" x14ac:dyDescent="0.3">
      <c r="A4" s="1"/>
      <c r="B4" s="1" t="s">
        <v>100</v>
      </c>
      <c r="C4" s="1"/>
      <c r="D4" s="1" t="s">
        <v>98</v>
      </c>
      <c r="E4" s="2"/>
    </row>
    <row r="5" spans="1:5" x14ac:dyDescent="0.3">
      <c r="A5" s="1"/>
      <c r="B5" s="1" t="s">
        <v>101</v>
      </c>
      <c r="C5" s="1"/>
      <c r="D5" s="1" t="s">
        <v>98</v>
      </c>
      <c r="E5" s="2"/>
    </row>
    <row r="6" spans="1:5" x14ac:dyDescent="0.3">
      <c r="A6" s="1"/>
      <c r="B6" s="1" t="s">
        <v>250</v>
      </c>
      <c r="C6" s="1"/>
      <c r="D6" s="1" t="s">
        <v>98</v>
      </c>
      <c r="E6" t="s">
        <v>246</v>
      </c>
    </row>
    <row r="7" spans="1:5" x14ac:dyDescent="0.3">
      <c r="A7" s="1"/>
      <c r="B7" s="1" t="s">
        <v>102</v>
      </c>
      <c r="C7" s="1"/>
      <c r="D7" s="1" t="s">
        <v>98</v>
      </c>
      <c r="E7" s="2"/>
    </row>
    <row r="8" spans="1:5" x14ac:dyDescent="0.3">
      <c r="A8" s="1"/>
      <c r="B8" s="1" t="s">
        <v>103</v>
      </c>
      <c r="C8" s="1" t="s">
        <v>97</v>
      </c>
      <c r="D8" s="1" t="s">
        <v>98</v>
      </c>
      <c r="E8" s="2"/>
    </row>
    <row r="9" spans="1:5" x14ac:dyDescent="0.3">
      <c r="A9" s="1"/>
      <c r="B9" s="1" t="s">
        <v>104</v>
      </c>
      <c r="C9" s="1"/>
      <c r="D9" s="1" t="s">
        <v>99</v>
      </c>
      <c r="E9" s="2"/>
    </row>
    <row r="10" spans="1:5" x14ac:dyDescent="0.3">
      <c r="A10" s="1"/>
      <c r="B10" s="1" t="s">
        <v>105</v>
      </c>
      <c r="C10" s="1"/>
      <c r="D10" s="1" t="s">
        <v>99</v>
      </c>
      <c r="E10" s="2"/>
    </row>
    <row r="11" spans="1:5" x14ac:dyDescent="0.3">
      <c r="A11" s="1"/>
      <c r="B11" s="1" t="s">
        <v>106</v>
      </c>
      <c r="C11" s="1"/>
      <c r="D11" s="1" t="s">
        <v>98</v>
      </c>
      <c r="E11" s="2" t="s">
        <v>246</v>
      </c>
    </row>
    <row r="12" spans="1:5" x14ac:dyDescent="0.3">
      <c r="A12" s="1"/>
      <c r="B12" s="1" t="s">
        <v>107</v>
      </c>
      <c r="C12" s="1"/>
      <c r="D12" s="1" t="s">
        <v>98</v>
      </c>
      <c r="E12" s="2"/>
    </row>
    <row r="13" spans="1:5" x14ac:dyDescent="0.3">
      <c r="A13" s="1"/>
      <c r="B13" s="1" t="s">
        <v>108</v>
      </c>
      <c r="C13" s="1"/>
      <c r="D13" s="1" t="s">
        <v>98</v>
      </c>
      <c r="E13" s="2"/>
    </row>
    <row r="14" spans="1:5" x14ac:dyDescent="0.3">
      <c r="A14" s="1"/>
      <c r="B14" s="1" t="s">
        <v>109</v>
      </c>
      <c r="C14" s="1"/>
      <c r="D14" s="1" t="s">
        <v>98</v>
      </c>
      <c r="E14" s="2"/>
    </row>
    <row r="15" spans="1:5" x14ac:dyDescent="0.3">
      <c r="A15" s="1"/>
      <c r="B15" s="1" t="s">
        <v>110</v>
      </c>
      <c r="C15" s="1"/>
      <c r="D15" s="1" t="s">
        <v>98</v>
      </c>
      <c r="E15" s="2"/>
    </row>
    <row r="16" spans="1:5" x14ac:dyDescent="0.3">
      <c r="A16" s="1"/>
      <c r="B16" s="1" t="s">
        <v>111</v>
      </c>
      <c r="C16" s="1"/>
      <c r="D16" s="1" t="s">
        <v>98</v>
      </c>
      <c r="E16" s="2" t="s">
        <v>246</v>
      </c>
    </row>
    <row r="17" spans="1:5" x14ac:dyDescent="0.3">
      <c r="A17" s="1"/>
      <c r="B17" s="1" t="s">
        <v>112</v>
      </c>
      <c r="C17" s="1"/>
      <c r="D17" s="1" t="s">
        <v>98</v>
      </c>
      <c r="E17" s="2"/>
    </row>
    <row r="18" spans="1:5" x14ac:dyDescent="0.3">
      <c r="A18" s="1"/>
      <c r="B18" s="1" t="s">
        <v>113</v>
      </c>
      <c r="C18" s="1"/>
      <c r="D18" s="1" t="s">
        <v>98</v>
      </c>
      <c r="E18" s="2"/>
    </row>
    <row r="19" spans="1:5" x14ac:dyDescent="0.3">
      <c r="B19" s="1" t="s">
        <v>12</v>
      </c>
      <c r="C19" s="1"/>
      <c r="D19" s="1" t="s">
        <v>98</v>
      </c>
      <c r="E19" s="14"/>
    </row>
    <row r="20" spans="1:5" x14ac:dyDescent="0.3">
      <c r="B20" s="1" t="s">
        <v>114</v>
      </c>
      <c r="C20" s="1" t="s">
        <v>97</v>
      </c>
      <c r="D20" s="1" t="s">
        <v>98</v>
      </c>
      <c r="E20" s="2"/>
    </row>
    <row r="21" spans="1:5" x14ac:dyDescent="0.3">
      <c r="B21" s="1" t="s">
        <v>115</v>
      </c>
      <c r="C21" s="1"/>
      <c r="D21" s="1" t="s">
        <v>98</v>
      </c>
      <c r="E21" s="2"/>
    </row>
    <row r="22" spans="1:5" x14ac:dyDescent="0.3">
      <c r="B22" s="1" t="s">
        <v>116</v>
      </c>
      <c r="C22" s="1" t="s">
        <v>97</v>
      </c>
      <c r="D22" s="1" t="s">
        <v>99</v>
      </c>
      <c r="E22" s="14"/>
    </row>
    <row r="23" spans="1:5" x14ac:dyDescent="0.3">
      <c r="B23" s="1" t="s">
        <v>117</v>
      </c>
      <c r="C23" s="1"/>
      <c r="D23" s="1" t="s">
        <v>99</v>
      </c>
      <c r="E23" s="14"/>
    </row>
    <row r="24" spans="1:5" x14ac:dyDescent="0.3">
      <c r="B24" s="1" t="s">
        <v>266</v>
      </c>
      <c r="C24" s="1"/>
      <c r="D24" s="1" t="s">
        <v>98</v>
      </c>
    </row>
    <row r="25" spans="1:5" x14ac:dyDescent="0.3">
      <c r="B25" s="1" t="s">
        <v>118</v>
      </c>
      <c r="C25" s="1" t="s">
        <v>97</v>
      </c>
      <c r="D25" s="1" t="s">
        <v>99</v>
      </c>
      <c r="E25" s="2"/>
    </row>
    <row r="26" spans="1:5" x14ac:dyDescent="0.3">
      <c r="B26" s="1" t="s">
        <v>286</v>
      </c>
      <c r="C26" s="1"/>
      <c r="D26" s="1" t="s">
        <v>98</v>
      </c>
      <c r="E26" t="s">
        <v>246</v>
      </c>
    </row>
    <row r="27" spans="1:5" x14ac:dyDescent="0.3">
      <c r="B27" s="1" t="s">
        <v>119</v>
      </c>
      <c r="C27" s="1"/>
      <c r="D27" s="1" t="s">
        <v>98</v>
      </c>
      <c r="E27" s="2"/>
    </row>
    <row r="28" spans="1:5" x14ac:dyDescent="0.3">
      <c r="B28" s="1" t="s">
        <v>120</v>
      </c>
      <c r="C28" s="1"/>
      <c r="D28" s="1" t="s">
        <v>99</v>
      </c>
      <c r="E28" s="14"/>
    </row>
    <row r="29" spans="1:5" x14ac:dyDescent="0.3">
      <c r="B29" s="1" t="s">
        <v>121</v>
      </c>
      <c r="C29" s="1" t="s">
        <v>97</v>
      </c>
      <c r="D29" s="1" t="s">
        <v>98</v>
      </c>
      <c r="E29" s="14"/>
    </row>
    <row r="30" spans="1:5" x14ac:dyDescent="0.3">
      <c r="B30" s="1" t="s">
        <v>267</v>
      </c>
      <c r="C30" s="1"/>
      <c r="D30" s="1" t="s">
        <v>98</v>
      </c>
      <c r="E30" t="s">
        <v>246</v>
      </c>
    </row>
    <row r="31" spans="1:5" x14ac:dyDescent="0.3">
      <c r="B31" s="1" t="s">
        <v>122</v>
      </c>
      <c r="C31" s="1"/>
      <c r="D31" s="1" t="s">
        <v>98</v>
      </c>
      <c r="E31" s="14"/>
    </row>
    <row r="32" spans="1:5" x14ac:dyDescent="0.3">
      <c r="B32" s="1" t="s">
        <v>123</v>
      </c>
      <c r="C32" s="1"/>
      <c r="D32" s="1" t="s">
        <v>98</v>
      </c>
      <c r="E32" s="14"/>
    </row>
    <row r="33" spans="2:5" x14ac:dyDescent="0.3">
      <c r="B33" s="1" t="s">
        <v>124</v>
      </c>
      <c r="C33" s="1"/>
      <c r="D33" s="1" t="s">
        <v>98</v>
      </c>
      <c r="E33" s="14"/>
    </row>
    <row r="34" spans="2:5" x14ac:dyDescent="0.3">
      <c r="B34" s="1" t="s">
        <v>251</v>
      </c>
      <c r="C34" s="1"/>
      <c r="D34" s="1" t="s">
        <v>98</v>
      </c>
    </row>
    <row r="35" spans="2:5" x14ac:dyDescent="0.3">
      <c r="B35" s="1" t="s">
        <v>125</v>
      </c>
      <c r="C35" s="1"/>
      <c r="D35" s="1" t="s">
        <v>98</v>
      </c>
      <c r="E35" s="2"/>
    </row>
    <row r="36" spans="2:5" x14ac:dyDescent="0.3">
      <c r="B36" s="1" t="s">
        <v>126</v>
      </c>
      <c r="C36" s="1"/>
      <c r="D36" s="1" t="s">
        <v>98</v>
      </c>
      <c r="E36" s="14"/>
    </row>
    <row r="37" spans="2:5" x14ac:dyDescent="0.3">
      <c r="B37" s="1" t="s">
        <v>127</v>
      </c>
      <c r="C37" s="1"/>
      <c r="D37" s="1" t="s">
        <v>207</v>
      </c>
      <c r="E37" s="14"/>
    </row>
    <row r="38" spans="2:5" x14ac:dyDescent="0.3">
      <c r="B38" s="1" t="s">
        <v>128</v>
      </c>
      <c r="C38" s="1"/>
      <c r="D38" s="1" t="s">
        <v>98</v>
      </c>
      <c r="E38" s="14"/>
    </row>
    <row r="39" spans="2:5" x14ac:dyDescent="0.3">
      <c r="B39" s="1" t="s">
        <v>129</v>
      </c>
      <c r="C39" s="1"/>
      <c r="D39" s="1" t="s">
        <v>99</v>
      </c>
      <c r="E39" s="14"/>
    </row>
    <row r="40" spans="2:5" x14ac:dyDescent="0.3">
      <c r="B40" s="1" t="s">
        <v>130</v>
      </c>
      <c r="C40" s="1"/>
      <c r="D40" s="1" t="s">
        <v>98</v>
      </c>
      <c r="E40" s="14"/>
    </row>
    <row r="41" spans="2:5" x14ac:dyDescent="0.3">
      <c r="B41" s="1" t="s">
        <v>252</v>
      </c>
      <c r="C41" s="1"/>
      <c r="D41" s="1" t="s">
        <v>98</v>
      </c>
    </row>
    <row r="42" spans="2:5" x14ac:dyDescent="0.3">
      <c r="B42" s="1" t="s">
        <v>131</v>
      </c>
      <c r="C42" s="1"/>
      <c r="D42" s="1" t="s">
        <v>98</v>
      </c>
      <c r="E42" s="2"/>
    </row>
    <row r="43" spans="2:5" x14ac:dyDescent="0.3">
      <c r="B43" s="1" t="s">
        <v>132</v>
      </c>
      <c r="C43" s="1"/>
      <c r="D43" s="1" t="s">
        <v>98</v>
      </c>
      <c r="E43" s="14"/>
    </row>
    <row r="44" spans="2:5" x14ac:dyDescent="0.3">
      <c r="B44" s="1" t="s">
        <v>133</v>
      </c>
      <c r="C44" s="1"/>
      <c r="D44" s="1" t="s">
        <v>98</v>
      </c>
      <c r="E44" s="14"/>
    </row>
    <row r="45" spans="2:5" x14ac:dyDescent="0.3">
      <c r="B45" s="1" t="s">
        <v>134</v>
      </c>
      <c r="C45" s="1"/>
      <c r="D45" s="1" t="s">
        <v>98</v>
      </c>
      <c r="E45" s="14" t="s">
        <v>246</v>
      </c>
    </row>
    <row r="46" spans="2:5" x14ac:dyDescent="0.3">
      <c r="B46" s="1" t="s">
        <v>268</v>
      </c>
      <c r="C46" s="1"/>
      <c r="D46" s="1" t="s">
        <v>98</v>
      </c>
    </row>
    <row r="47" spans="2:5" x14ac:dyDescent="0.3">
      <c r="B47" s="1" t="s">
        <v>13</v>
      </c>
      <c r="C47" s="1"/>
      <c r="D47" s="1" t="s">
        <v>99</v>
      </c>
      <c r="E47" s="14"/>
    </row>
    <row r="48" spans="2:5" x14ac:dyDescent="0.3">
      <c r="B48" s="1" t="s">
        <v>135</v>
      </c>
      <c r="C48" s="1"/>
      <c r="D48" s="1" t="s">
        <v>98</v>
      </c>
      <c r="E48" s="14"/>
    </row>
    <row r="49" spans="2:5" x14ac:dyDescent="0.3">
      <c r="B49" s="1" t="s">
        <v>136</v>
      </c>
      <c r="C49" s="1"/>
      <c r="D49" s="1" t="s">
        <v>98</v>
      </c>
      <c r="E49" s="2"/>
    </row>
    <row r="50" spans="2:5" x14ac:dyDescent="0.3">
      <c r="B50" s="1" t="s">
        <v>137</v>
      </c>
      <c r="C50" s="1" t="s">
        <v>97</v>
      </c>
      <c r="D50" s="1" t="s">
        <v>98</v>
      </c>
      <c r="E50" s="14"/>
    </row>
    <row r="51" spans="2:5" x14ac:dyDescent="0.3">
      <c r="B51" s="1" t="s">
        <v>138</v>
      </c>
      <c r="C51" s="1"/>
      <c r="D51" s="1" t="s">
        <v>98</v>
      </c>
      <c r="E51" s="14"/>
    </row>
    <row r="52" spans="2:5" x14ac:dyDescent="0.3">
      <c r="B52" s="1" t="s">
        <v>139</v>
      </c>
      <c r="C52" s="1"/>
      <c r="D52" s="1" t="s">
        <v>98</v>
      </c>
      <c r="E52" s="14"/>
    </row>
    <row r="53" spans="2:5" x14ac:dyDescent="0.3">
      <c r="B53" s="1" t="s">
        <v>14</v>
      </c>
      <c r="C53" s="1"/>
      <c r="D53" s="1" t="s">
        <v>98</v>
      </c>
      <c r="E53" s="2" t="s">
        <v>246</v>
      </c>
    </row>
    <row r="54" spans="2:5" x14ac:dyDescent="0.3">
      <c r="B54" s="1" t="s">
        <v>140</v>
      </c>
      <c r="C54" s="1"/>
      <c r="D54" s="1" t="s">
        <v>207</v>
      </c>
      <c r="E54" s="14"/>
    </row>
    <row r="55" spans="2:5" x14ac:dyDescent="0.3">
      <c r="B55" s="1" t="s">
        <v>15</v>
      </c>
      <c r="C55" s="1"/>
      <c r="D55" s="1" t="s">
        <v>98</v>
      </c>
      <c r="E55" s="14"/>
    </row>
    <row r="56" spans="2:5" x14ac:dyDescent="0.3">
      <c r="B56" s="1" t="s">
        <v>141</v>
      </c>
      <c r="C56" s="1"/>
      <c r="D56" s="1" t="s">
        <v>98</v>
      </c>
      <c r="E56" s="14"/>
    </row>
    <row r="57" spans="2:5" x14ac:dyDescent="0.3">
      <c r="B57" s="1" t="s">
        <v>16</v>
      </c>
      <c r="C57" s="1"/>
      <c r="D57" s="1" t="s">
        <v>98</v>
      </c>
      <c r="E57" s="14"/>
    </row>
    <row r="58" spans="2:5" x14ac:dyDescent="0.3">
      <c r="B58" s="1" t="s">
        <v>142</v>
      </c>
      <c r="C58" s="1"/>
      <c r="D58" s="1" t="s">
        <v>99</v>
      </c>
      <c r="E58" s="2"/>
    </row>
    <row r="59" spans="2:5" x14ac:dyDescent="0.3">
      <c r="B59" s="1" t="s">
        <v>143</v>
      </c>
      <c r="C59" s="1"/>
      <c r="D59" s="1" t="s">
        <v>98</v>
      </c>
      <c r="E59" s="14"/>
    </row>
    <row r="60" spans="2:5" x14ac:dyDescent="0.3">
      <c r="B60" s="1" t="s">
        <v>253</v>
      </c>
      <c r="C60" s="1"/>
      <c r="D60" s="1" t="s">
        <v>98</v>
      </c>
    </row>
    <row r="61" spans="2:5" x14ac:dyDescent="0.3">
      <c r="B61" s="1" t="s">
        <v>196</v>
      </c>
      <c r="C61" s="1"/>
      <c r="D61" s="1" t="s">
        <v>98</v>
      </c>
      <c r="E61" s="2"/>
    </row>
    <row r="62" spans="2:5" x14ac:dyDescent="0.3">
      <c r="B62" s="1" t="s">
        <v>144</v>
      </c>
      <c r="C62" s="1"/>
      <c r="D62" s="1" t="s">
        <v>98</v>
      </c>
      <c r="E62" s="2"/>
    </row>
    <row r="63" spans="2:5" x14ac:dyDescent="0.3">
      <c r="B63" s="1" t="s">
        <v>17</v>
      </c>
      <c r="C63" s="1"/>
      <c r="D63" s="1" t="s">
        <v>98</v>
      </c>
      <c r="E63" s="14"/>
    </row>
    <row r="64" spans="2:5" x14ac:dyDescent="0.3">
      <c r="B64" s="1" t="s">
        <v>145</v>
      </c>
      <c r="C64" s="1"/>
      <c r="D64" s="1" t="s">
        <v>98</v>
      </c>
      <c r="E64" s="14"/>
    </row>
    <row r="65" spans="2:5" x14ac:dyDescent="0.3">
      <c r="B65" s="1" t="s">
        <v>146</v>
      </c>
      <c r="C65" s="1"/>
      <c r="D65" s="1" t="s">
        <v>98</v>
      </c>
      <c r="E65" s="14"/>
    </row>
    <row r="66" spans="2:5" x14ac:dyDescent="0.3">
      <c r="B66" s="1" t="s">
        <v>147</v>
      </c>
      <c r="C66" s="1"/>
      <c r="D66" s="1" t="s">
        <v>98</v>
      </c>
      <c r="E66" s="2"/>
    </row>
    <row r="67" spans="2:5" x14ac:dyDescent="0.3">
      <c r="B67" s="1" t="s">
        <v>148</v>
      </c>
      <c r="C67" s="1"/>
      <c r="D67" s="1" t="s">
        <v>98</v>
      </c>
      <c r="E67" s="14"/>
    </row>
    <row r="68" spans="2:5" x14ac:dyDescent="0.3">
      <c r="B68" s="1" t="s">
        <v>149</v>
      </c>
      <c r="C68" s="1"/>
      <c r="D68" s="1" t="s">
        <v>98</v>
      </c>
      <c r="E68" s="2" t="s">
        <v>246</v>
      </c>
    </row>
    <row r="69" spans="2:5" x14ac:dyDescent="0.3">
      <c r="B69" s="1" t="s">
        <v>269</v>
      </c>
      <c r="C69" s="1"/>
      <c r="D69" s="1" t="s">
        <v>98</v>
      </c>
    </row>
    <row r="70" spans="2:5" x14ac:dyDescent="0.3">
      <c r="B70" s="1" t="s">
        <v>150</v>
      </c>
      <c r="C70" s="1" t="s">
        <v>97</v>
      </c>
      <c r="D70" s="1" t="s">
        <v>98</v>
      </c>
      <c r="E70" s="14"/>
    </row>
    <row r="71" spans="2:5" x14ac:dyDescent="0.3">
      <c r="B71" s="1" t="s">
        <v>151</v>
      </c>
      <c r="C71" s="1" t="s">
        <v>97</v>
      </c>
      <c r="D71" s="1" t="s">
        <v>98</v>
      </c>
      <c r="E71" s="14"/>
    </row>
    <row r="72" spans="2:5" x14ac:dyDescent="0.3">
      <c r="B72" s="1" t="s">
        <v>152</v>
      </c>
      <c r="C72" s="1"/>
      <c r="D72" s="1" t="s">
        <v>98</v>
      </c>
      <c r="E72" s="14"/>
    </row>
    <row r="73" spans="2:5" x14ac:dyDescent="0.3">
      <c r="B73" s="1" t="s">
        <v>153</v>
      </c>
      <c r="C73" s="1"/>
      <c r="D73" s="1" t="s">
        <v>98</v>
      </c>
      <c r="E73" s="2"/>
    </row>
    <row r="74" spans="2:5" x14ac:dyDescent="0.3">
      <c r="B74" s="1" t="s">
        <v>154</v>
      </c>
      <c r="C74" s="1"/>
      <c r="D74" s="1" t="s">
        <v>98</v>
      </c>
      <c r="E74" s="14"/>
    </row>
    <row r="75" spans="2:5" x14ac:dyDescent="0.3">
      <c r="B75" s="1" t="s">
        <v>254</v>
      </c>
      <c r="C75" s="1"/>
      <c r="D75" s="1" t="s">
        <v>98</v>
      </c>
    </row>
    <row r="76" spans="2:5" x14ac:dyDescent="0.3">
      <c r="B76" s="1" t="s">
        <v>255</v>
      </c>
      <c r="C76" s="1"/>
      <c r="D76" s="1" t="s">
        <v>98</v>
      </c>
    </row>
    <row r="77" spans="2:5" x14ac:dyDescent="0.3">
      <c r="B77" s="1" t="s">
        <v>18</v>
      </c>
      <c r="C77" s="1" t="s">
        <v>97</v>
      </c>
      <c r="D77" s="1" t="s">
        <v>98</v>
      </c>
      <c r="E77" s="2"/>
    </row>
    <row r="78" spans="2:5" x14ac:dyDescent="0.3">
      <c r="B78" s="1" t="s">
        <v>155</v>
      </c>
      <c r="C78" s="1"/>
      <c r="D78" s="1" t="s">
        <v>98</v>
      </c>
      <c r="E78" s="14"/>
    </row>
    <row r="79" spans="2:5" x14ac:dyDescent="0.3">
      <c r="B79" s="1" t="s">
        <v>156</v>
      </c>
      <c r="C79" s="1"/>
      <c r="D79" s="1" t="s">
        <v>98</v>
      </c>
      <c r="E79" s="14"/>
    </row>
    <row r="80" spans="2:5" x14ac:dyDescent="0.3">
      <c r="B80" s="1" t="s">
        <v>157</v>
      </c>
      <c r="C80" s="1"/>
      <c r="D80" s="1" t="s">
        <v>98</v>
      </c>
      <c r="E80" s="14"/>
    </row>
    <row r="81" spans="2:5" x14ac:dyDescent="0.3">
      <c r="B81" s="1" t="s">
        <v>158</v>
      </c>
      <c r="C81" s="1"/>
      <c r="D81" s="1" t="s">
        <v>98</v>
      </c>
      <c r="E81" s="2"/>
    </row>
    <row r="82" spans="2:5" x14ac:dyDescent="0.3">
      <c r="B82" s="1" t="s">
        <v>159</v>
      </c>
      <c r="C82" s="1"/>
      <c r="D82" s="1" t="s">
        <v>98</v>
      </c>
      <c r="E82" s="2"/>
    </row>
    <row r="83" spans="2:5" x14ac:dyDescent="0.3">
      <c r="B83" s="1" t="s">
        <v>247</v>
      </c>
      <c r="C83" s="1"/>
      <c r="D83" s="1" t="s">
        <v>98</v>
      </c>
    </row>
    <row r="84" spans="2:5" x14ac:dyDescent="0.3">
      <c r="B84" s="1" t="s">
        <v>270</v>
      </c>
      <c r="C84" s="1"/>
      <c r="D84" s="1" t="s">
        <v>98</v>
      </c>
      <c r="E84" t="s">
        <v>246</v>
      </c>
    </row>
    <row r="85" spans="2:5" x14ac:dyDescent="0.3">
      <c r="B85" s="1" t="s">
        <v>160</v>
      </c>
      <c r="C85" s="1"/>
      <c r="D85" s="1" t="s">
        <v>98</v>
      </c>
      <c r="E85" s="14"/>
    </row>
    <row r="86" spans="2:5" x14ac:dyDescent="0.3">
      <c r="B86" s="1" t="s">
        <v>271</v>
      </c>
      <c r="C86" s="1"/>
      <c r="D86" s="1" t="s">
        <v>98</v>
      </c>
    </row>
    <row r="87" spans="2:5" x14ac:dyDescent="0.3">
      <c r="B87" s="1" t="s">
        <v>161</v>
      </c>
      <c r="C87" s="1"/>
      <c r="D87" s="1" t="s">
        <v>98</v>
      </c>
      <c r="E87" s="2" t="s">
        <v>246</v>
      </c>
    </row>
    <row r="88" spans="2:5" x14ac:dyDescent="0.3">
      <c r="B88" s="1" t="s">
        <v>272</v>
      </c>
      <c r="C88" s="1"/>
      <c r="D88" s="1" t="s">
        <v>98</v>
      </c>
    </row>
    <row r="89" spans="2:5" x14ac:dyDescent="0.3">
      <c r="B89" s="1" t="s">
        <v>162</v>
      </c>
      <c r="C89" s="1"/>
      <c r="D89" s="1" t="s">
        <v>98</v>
      </c>
      <c r="E89" s="14"/>
    </row>
    <row r="90" spans="2:5" x14ac:dyDescent="0.3">
      <c r="B90" s="1" t="s">
        <v>292</v>
      </c>
      <c r="C90" s="1"/>
      <c r="D90" s="1" t="s">
        <v>98</v>
      </c>
      <c r="E90" t="s">
        <v>246</v>
      </c>
    </row>
    <row r="91" spans="2:5" x14ac:dyDescent="0.3">
      <c r="B91" s="1" t="s">
        <v>163</v>
      </c>
      <c r="C91" s="1"/>
      <c r="D91" s="1" t="s">
        <v>98</v>
      </c>
      <c r="E91" s="14"/>
    </row>
    <row r="92" spans="2:5" x14ac:dyDescent="0.3">
      <c r="B92" s="1" t="s">
        <v>164</v>
      </c>
      <c r="C92" s="1"/>
      <c r="D92" s="1" t="s">
        <v>98</v>
      </c>
      <c r="E92" s="2"/>
    </row>
    <row r="93" spans="2:5" x14ac:dyDescent="0.3">
      <c r="B93" s="1" t="s">
        <v>248</v>
      </c>
      <c r="C93" s="1"/>
      <c r="D93" s="1" t="s">
        <v>98</v>
      </c>
    </row>
    <row r="94" spans="2:5" x14ac:dyDescent="0.3">
      <c r="B94" s="1" t="s">
        <v>165</v>
      </c>
      <c r="C94" s="1"/>
      <c r="D94" s="1" t="s">
        <v>98</v>
      </c>
      <c r="E94" s="2"/>
    </row>
    <row r="95" spans="2:5" x14ac:dyDescent="0.3">
      <c r="B95" s="1" t="s">
        <v>289</v>
      </c>
      <c r="C95" s="1"/>
      <c r="D95" s="1" t="s">
        <v>98</v>
      </c>
    </row>
    <row r="96" spans="2:5" x14ac:dyDescent="0.3">
      <c r="B96" s="1" t="s">
        <v>166</v>
      </c>
      <c r="C96" s="1"/>
      <c r="D96" s="1" t="s">
        <v>98</v>
      </c>
      <c r="E96" s="14"/>
    </row>
    <row r="97" spans="2:5" x14ac:dyDescent="0.3">
      <c r="B97" s="1" t="s">
        <v>19</v>
      </c>
      <c r="C97" s="1"/>
      <c r="D97" s="1" t="s">
        <v>98</v>
      </c>
      <c r="E97" s="14"/>
    </row>
    <row r="98" spans="2:5" x14ac:dyDescent="0.3">
      <c r="B98" s="1" t="s">
        <v>20</v>
      </c>
      <c r="C98" s="1"/>
      <c r="D98" s="1" t="s">
        <v>98</v>
      </c>
      <c r="E98" s="14"/>
    </row>
    <row r="99" spans="2:5" x14ac:dyDescent="0.3">
      <c r="B99" s="1" t="s">
        <v>249</v>
      </c>
      <c r="C99" s="1"/>
      <c r="D99" s="1" t="s">
        <v>98</v>
      </c>
    </row>
    <row r="100" spans="2:5" x14ac:dyDescent="0.3">
      <c r="B100" s="1" t="s">
        <v>167</v>
      </c>
      <c r="C100" s="1"/>
      <c r="D100" s="1" t="s">
        <v>98</v>
      </c>
      <c r="E100" s="14"/>
    </row>
    <row r="101" spans="2:5" x14ac:dyDescent="0.3">
      <c r="B101" s="1" t="s">
        <v>168</v>
      </c>
      <c r="C101" s="1"/>
      <c r="D101" s="1" t="s">
        <v>99</v>
      </c>
      <c r="E101" s="14"/>
    </row>
    <row r="102" spans="2:5" x14ac:dyDescent="0.3">
      <c r="B102" s="1" t="s">
        <v>169</v>
      </c>
      <c r="C102" s="1"/>
      <c r="D102" s="1" t="s">
        <v>98</v>
      </c>
      <c r="E102" s="14" t="s">
        <v>246</v>
      </c>
    </row>
    <row r="103" spans="2:5" x14ac:dyDescent="0.3">
      <c r="B103" s="1" t="s">
        <v>170</v>
      </c>
      <c r="C103" s="1"/>
      <c r="D103" s="1" t="s">
        <v>98</v>
      </c>
      <c r="E103" s="2"/>
    </row>
    <row r="104" spans="2:5" x14ac:dyDescent="0.3">
      <c r="B104" s="1" t="s">
        <v>171</v>
      </c>
      <c r="C104" s="1"/>
      <c r="D104" s="1" t="s">
        <v>98</v>
      </c>
      <c r="E104" s="14"/>
    </row>
    <row r="105" spans="2:5" x14ac:dyDescent="0.3">
      <c r="B105" s="1" t="s">
        <v>172</v>
      </c>
      <c r="C105" s="1"/>
      <c r="D105" s="1" t="s">
        <v>98</v>
      </c>
      <c r="E105" s="14"/>
    </row>
    <row r="106" spans="2:5" x14ac:dyDescent="0.3">
      <c r="B106" s="1" t="s">
        <v>173</v>
      </c>
      <c r="C106" s="1"/>
      <c r="D106" s="1" t="s">
        <v>98</v>
      </c>
      <c r="E106" s="14"/>
    </row>
    <row r="107" spans="2:5" x14ac:dyDescent="0.3">
      <c r="B107" s="1" t="s">
        <v>273</v>
      </c>
      <c r="C107" s="1"/>
      <c r="D107" s="1" t="s">
        <v>98</v>
      </c>
    </row>
    <row r="108" spans="2:5" x14ac:dyDescent="0.3">
      <c r="B108" s="1" t="s">
        <v>274</v>
      </c>
      <c r="C108" s="1"/>
      <c r="D108" s="1" t="s">
        <v>98</v>
      </c>
    </row>
    <row r="109" spans="2:5" x14ac:dyDescent="0.3">
      <c r="B109" s="1" t="s">
        <v>174</v>
      </c>
      <c r="C109" s="1"/>
      <c r="D109" s="1" t="s">
        <v>98</v>
      </c>
      <c r="E109" s="2"/>
    </row>
    <row r="110" spans="2:5" x14ac:dyDescent="0.3">
      <c r="B110" s="1" t="s">
        <v>175</v>
      </c>
      <c r="C110" s="1"/>
      <c r="D110" s="1" t="s">
        <v>99</v>
      </c>
      <c r="E110" s="14"/>
    </row>
    <row r="111" spans="2:5" x14ac:dyDescent="0.3">
      <c r="B111" s="1" t="s">
        <v>176</v>
      </c>
      <c r="C111" s="1"/>
      <c r="D111" s="1" t="s">
        <v>99</v>
      </c>
      <c r="E111" s="2" t="s">
        <v>246</v>
      </c>
    </row>
    <row r="112" spans="2:5" x14ac:dyDescent="0.3">
      <c r="B112" s="1" t="s">
        <v>177</v>
      </c>
      <c r="C112" s="1"/>
      <c r="D112" s="1" t="s">
        <v>99</v>
      </c>
      <c r="E112" s="2"/>
    </row>
    <row r="113" spans="2:5" x14ac:dyDescent="0.3">
      <c r="B113" s="1" t="s">
        <v>243</v>
      </c>
      <c r="C113" s="1"/>
      <c r="D113" s="1" t="s">
        <v>99</v>
      </c>
      <c r="E113" s="2" t="s">
        <v>246</v>
      </c>
    </row>
    <row r="114" spans="2:5" x14ac:dyDescent="0.3">
      <c r="B114" s="1" t="s">
        <v>256</v>
      </c>
      <c r="C114" s="1"/>
      <c r="D114" s="1" t="s">
        <v>98</v>
      </c>
    </row>
    <row r="115" spans="2:5" x14ac:dyDescent="0.3">
      <c r="B115" s="1" t="s">
        <v>178</v>
      </c>
      <c r="C115" s="1"/>
      <c r="D115" s="1" t="s">
        <v>98</v>
      </c>
      <c r="E115" s="14"/>
    </row>
    <row r="116" spans="2:5" x14ac:dyDescent="0.3">
      <c r="B116" s="1" t="s">
        <v>179</v>
      </c>
      <c r="C116" s="1"/>
      <c r="D116" s="1" t="s">
        <v>99</v>
      </c>
      <c r="E116" s="14"/>
    </row>
    <row r="117" spans="2:5" x14ac:dyDescent="0.3">
      <c r="B117" s="1" t="s">
        <v>275</v>
      </c>
      <c r="C117" s="1" t="s">
        <v>97</v>
      </c>
      <c r="D117" s="1" t="s">
        <v>98</v>
      </c>
    </row>
    <row r="118" spans="2:5" x14ac:dyDescent="0.3">
      <c r="B118" s="1" t="s">
        <v>180</v>
      </c>
      <c r="C118" s="1" t="s">
        <v>97</v>
      </c>
      <c r="D118" s="1" t="s">
        <v>98</v>
      </c>
      <c r="E118" s="14"/>
    </row>
    <row r="119" spans="2:5" x14ac:dyDescent="0.3">
      <c r="B119" s="1" t="s">
        <v>21</v>
      </c>
      <c r="C119" s="1"/>
      <c r="D119" s="1" t="s">
        <v>99</v>
      </c>
      <c r="E119" s="2"/>
    </row>
    <row r="120" spans="2:5" x14ac:dyDescent="0.3">
      <c r="B120" s="1" t="s">
        <v>290</v>
      </c>
      <c r="C120" s="1"/>
      <c r="D120" s="1" t="s">
        <v>98</v>
      </c>
    </row>
    <row r="121" spans="2:5" x14ac:dyDescent="0.3">
      <c r="B121" s="1" t="s">
        <v>181</v>
      </c>
      <c r="C121" s="1"/>
      <c r="D121" s="1" t="s">
        <v>98</v>
      </c>
      <c r="E121" s="14"/>
    </row>
    <row r="122" spans="2:5" x14ac:dyDescent="0.3">
      <c r="B122" s="1" t="s">
        <v>182</v>
      </c>
      <c r="C122" s="1"/>
      <c r="D122" s="1" t="s">
        <v>98</v>
      </c>
      <c r="E122" s="14"/>
    </row>
    <row r="123" spans="2:5" x14ac:dyDescent="0.3">
      <c r="B123" s="1" t="s">
        <v>22</v>
      </c>
      <c r="C123" s="1"/>
      <c r="D123" s="1" t="s">
        <v>98</v>
      </c>
      <c r="E123" s="14"/>
    </row>
    <row r="124" spans="2:5" x14ac:dyDescent="0.3">
      <c r="B124" s="1" t="s">
        <v>23</v>
      </c>
      <c r="C124" s="1"/>
      <c r="D124" s="1" t="s">
        <v>98</v>
      </c>
      <c r="E124" s="14"/>
    </row>
    <row r="125" spans="2:5" x14ac:dyDescent="0.3">
      <c r="B125" s="1" t="s">
        <v>183</v>
      </c>
      <c r="C125" s="1" t="s">
        <v>97</v>
      </c>
      <c r="D125" s="1" t="s">
        <v>98</v>
      </c>
      <c r="E125" s="2" t="s">
        <v>246</v>
      </c>
    </row>
    <row r="126" spans="2:5" x14ac:dyDescent="0.3">
      <c r="B126" s="1" t="s">
        <v>184</v>
      </c>
      <c r="C126" s="1"/>
      <c r="D126" s="1" t="s">
        <v>98</v>
      </c>
      <c r="E126" s="2"/>
    </row>
    <row r="127" spans="2:5" x14ac:dyDescent="0.3">
      <c r="B127" s="1" t="s">
        <v>276</v>
      </c>
      <c r="C127" s="1"/>
      <c r="D127" s="1" t="s">
        <v>98</v>
      </c>
    </row>
    <row r="128" spans="2:5" x14ac:dyDescent="0.3">
      <c r="B128" s="1" t="s">
        <v>24</v>
      </c>
      <c r="C128" s="1"/>
      <c r="D128" s="1" t="s">
        <v>98</v>
      </c>
      <c r="E128" s="14"/>
    </row>
    <row r="129" spans="2:5" x14ac:dyDescent="0.3">
      <c r="B129" s="1" t="s">
        <v>277</v>
      </c>
      <c r="C129" s="1"/>
      <c r="D129" s="1" t="s">
        <v>98</v>
      </c>
    </row>
    <row r="130" spans="2:5" x14ac:dyDescent="0.3">
      <c r="B130" s="1" t="s">
        <v>185</v>
      </c>
      <c r="C130" s="1"/>
      <c r="D130" s="1" t="s">
        <v>98</v>
      </c>
      <c r="E130" s="14"/>
    </row>
    <row r="131" spans="2:5" x14ac:dyDescent="0.3">
      <c r="B131" s="1" t="s">
        <v>186</v>
      </c>
      <c r="C131" s="1" t="s">
        <v>97</v>
      </c>
      <c r="D131" s="1" t="s">
        <v>98</v>
      </c>
      <c r="E131" s="2"/>
    </row>
    <row r="132" spans="2:5" x14ac:dyDescent="0.3">
      <c r="B132" s="1" t="s">
        <v>187</v>
      </c>
      <c r="C132" s="1"/>
      <c r="D132" s="1" t="s">
        <v>98</v>
      </c>
      <c r="E132" s="14"/>
    </row>
    <row r="133" spans="2:5" x14ac:dyDescent="0.3">
      <c r="B133" s="1" t="s">
        <v>278</v>
      </c>
      <c r="C133" s="1"/>
      <c r="D133" s="1" t="s">
        <v>98</v>
      </c>
    </row>
    <row r="134" spans="2:5" x14ac:dyDescent="0.3">
      <c r="B134" s="1" t="s">
        <v>293</v>
      </c>
      <c r="C134" s="1"/>
      <c r="D134" s="1" t="s">
        <v>98</v>
      </c>
      <c r="E134" t="s">
        <v>246</v>
      </c>
    </row>
    <row r="135" spans="2:5" x14ac:dyDescent="0.3">
      <c r="B135" s="1" t="s">
        <v>188</v>
      </c>
      <c r="C135" s="1"/>
      <c r="D135" s="1" t="s">
        <v>99</v>
      </c>
      <c r="E135" s="14"/>
    </row>
    <row r="136" spans="2:5" x14ac:dyDescent="0.3">
      <c r="B136" s="1" t="s">
        <v>189</v>
      </c>
      <c r="C136" s="1"/>
      <c r="D136" s="1" t="s">
        <v>98</v>
      </c>
      <c r="E136" s="2"/>
    </row>
    <row r="137" spans="2:5" x14ac:dyDescent="0.3">
      <c r="B137" s="1" t="s">
        <v>190</v>
      </c>
      <c r="C137" s="1"/>
      <c r="D137" s="1" t="s">
        <v>98</v>
      </c>
      <c r="E137" s="14"/>
    </row>
    <row r="138" spans="2:5" x14ac:dyDescent="0.3">
      <c r="B138" s="1" t="s">
        <v>191</v>
      </c>
      <c r="C138" s="1"/>
      <c r="D138" s="1" t="s">
        <v>98</v>
      </c>
      <c r="E138" s="14"/>
    </row>
    <row r="139" spans="2:5" x14ac:dyDescent="0.3">
      <c r="B139" s="1" t="s">
        <v>192</v>
      </c>
      <c r="C139" s="1"/>
      <c r="D139" s="1" t="s">
        <v>98</v>
      </c>
      <c r="E139" s="14"/>
    </row>
    <row r="140" spans="2:5" x14ac:dyDescent="0.3">
      <c r="B140" s="1" t="s">
        <v>257</v>
      </c>
      <c r="C140" s="1"/>
      <c r="D140" s="1" t="s">
        <v>98</v>
      </c>
    </row>
    <row r="141" spans="2:5" x14ac:dyDescent="0.3">
      <c r="B141" s="1" t="s">
        <v>258</v>
      </c>
      <c r="C141" s="1"/>
      <c r="D141" s="1" t="s">
        <v>98</v>
      </c>
    </row>
    <row r="142" spans="2:5" x14ac:dyDescent="0.3">
      <c r="B142" s="1" t="s">
        <v>259</v>
      </c>
      <c r="C142" s="1"/>
      <c r="D142" s="1" t="s">
        <v>98</v>
      </c>
      <c r="E142" t="s">
        <v>246</v>
      </c>
    </row>
    <row r="143" spans="2:5" x14ac:dyDescent="0.3">
      <c r="B143" s="1" t="s">
        <v>193</v>
      </c>
      <c r="C143" s="1"/>
      <c r="D143" s="1" t="s">
        <v>98</v>
      </c>
      <c r="E143" s="14"/>
    </row>
    <row r="144" spans="2:5" x14ac:dyDescent="0.3">
      <c r="B144" s="1" t="s">
        <v>194</v>
      </c>
      <c r="C144" s="1"/>
      <c r="D144" s="1" t="s">
        <v>98</v>
      </c>
      <c r="E144" s="14"/>
    </row>
    <row r="145" spans="2:5" x14ac:dyDescent="0.3">
      <c r="B145" s="1" t="s">
        <v>195</v>
      </c>
      <c r="C145" s="1" t="s">
        <v>97</v>
      </c>
      <c r="D145" s="1" t="s">
        <v>99</v>
      </c>
      <c r="E145" s="2"/>
    </row>
    <row r="146" spans="2:5" x14ac:dyDescent="0.3">
      <c r="B146" s="1" t="s">
        <v>25</v>
      </c>
      <c r="C146" s="1"/>
      <c r="D146" s="1" t="s">
        <v>98</v>
      </c>
      <c r="E146" s="14"/>
    </row>
    <row r="147" spans="2:5" x14ac:dyDescent="0.3">
      <c r="B147" s="1" t="s">
        <v>197</v>
      </c>
      <c r="C147" s="1"/>
      <c r="D147" s="1" t="s">
        <v>98</v>
      </c>
      <c r="E147" s="2"/>
    </row>
    <row r="148" spans="2:5" x14ac:dyDescent="0.3">
      <c r="B148" s="1" t="s">
        <v>260</v>
      </c>
      <c r="C148" s="1"/>
      <c r="D148" s="1" t="s">
        <v>98</v>
      </c>
      <c r="E148" t="s">
        <v>246</v>
      </c>
    </row>
    <row r="149" spans="2:5" x14ac:dyDescent="0.3">
      <c r="B149" s="1" t="s">
        <v>261</v>
      </c>
      <c r="C149" s="1"/>
      <c r="D149" s="1" t="s">
        <v>98</v>
      </c>
    </row>
    <row r="150" spans="2:5" x14ac:dyDescent="0.3">
      <c r="B150" s="1" t="s">
        <v>198</v>
      </c>
      <c r="C150" s="1"/>
      <c r="D150" s="1" t="s">
        <v>98</v>
      </c>
      <c r="E150" s="14"/>
    </row>
    <row r="151" spans="2:5" x14ac:dyDescent="0.3">
      <c r="B151" s="1" t="s">
        <v>199</v>
      </c>
      <c r="C151" s="1"/>
      <c r="D151" s="1" t="s">
        <v>98</v>
      </c>
      <c r="E151" s="14"/>
    </row>
    <row r="152" spans="2:5" x14ac:dyDescent="0.3">
      <c r="B152" s="1" t="s">
        <v>279</v>
      </c>
      <c r="C152" s="1"/>
      <c r="D152" s="1" t="s">
        <v>98</v>
      </c>
    </row>
    <row r="153" spans="2:5" x14ac:dyDescent="0.3">
      <c r="B153" s="1" t="s">
        <v>262</v>
      </c>
      <c r="C153" s="1"/>
      <c r="D153" s="1" t="s">
        <v>98</v>
      </c>
    </row>
    <row r="154" spans="2:5" x14ac:dyDescent="0.3">
      <c r="B154" s="1" t="s">
        <v>26</v>
      </c>
      <c r="C154" s="1"/>
      <c r="D154" s="1" t="s">
        <v>98</v>
      </c>
      <c r="E154" s="14"/>
    </row>
    <row r="155" spans="2:5" x14ac:dyDescent="0.3">
      <c r="B155" s="1" t="s">
        <v>200</v>
      </c>
      <c r="C155" s="1"/>
      <c r="D155" s="1" t="s">
        <v>98</v>
      </c>
      <c r="E155" s="14"/>
    </row>
    <row r="156" spans="2:5" x14ac:dyDescent="0.3">
      <c r="B156" s="1" t="s">
        <v>201</v>
      </c>
      <c r="C156" s="1"/>
      <c r="D156" s="1" t="s">
        <v>98</v>
      </c>
      <c r="E156" s="2"/>
    </row>
    <row r="157" spans="2:5" x14ac:dyDescent="0.3">
      <c r="B157" s="1" t="s">
        <v>202</v>
      </c>
      <c r="C157" s="1"/>
      <c r="D157" s="1" t="s">
        <v>98</v>
      </c>
      <c r="E157" s="14"/>
    </row>
    <row r="158" spans="2:5" x14ac:dyDescent="0.3">
      <c r="B158" s="1" t="s">
        <v>203</v>
      </c>
      <c r="C158" s="1"/>
      <c r="D158" s="1" t="s">
        <v>98</v>
      </c>
      <c r="E158" s="2"/>
    </row>
    <row r="159" spans="2:5" x14ac:dyDescent="0.3">
      <c r="B159" s="1" t="s">
        <v>263</v>
      </c>
      <c r="C159" s="1"/>
      <c r="D159" s="1" t="s">
        <v>98</v>
      </c>
    </row>
    <row r="160" spans="2:5" x14ac:dyDescent="0.3">
      <c r="B160" s="1" t="s">
        <v>204</v>
      </c>
      <c r="C160" s="1"/>
      <c r="D160" s="1" t="s">
        <v>98</v>
      </c>
      <c r="E160" s="14"/>
    </row>
    <row r="161" spans="2:5" x14ac:dyDescent="0.3">
      <c r="B161" s="1" t="s">
        <v>287</v>
      </c>
      <c r="C161" s="1"/>
      <c r="D161" s="1" t="s">
        <v>98</v>
      </c>
    </row>
    <row r="162" spans="2:5" x14ac:dyDescent="0.3">
      <c r="B162" s="1" t="s">
        <v>205</v>
      </c>
      <c r="C162" s="1"/>
      <c r="D162" s="1" t="s">
        <v>98</v>
      </c>
      <c r="E162" s="14"/>
    </row>
    <row r="163" spans="2:5" x14ac:dyDescent="0.3">
      <c r="B163" s="1" t="s">
        <v>280</v>
      </c>
      <c r="C163" s="1"/>
      <c r="D163" s="1" t="s">
        <v>98</v>
      </c>
    </row>
    <row r="164" spans="2:5" x14ac:dyDescent="0.3">
      <c r="B164" s="1" t="s">
        <v>206</v>
      </c>
      <c r="C164" s="1"/>
      <c r="D164" s="1" t="s">
        <v>98</v>
      </c>
    </row>
    <row r="165" spans="2:5" x14ac:dyDescent="0.3">
      <c r="B165" s="1" t="s">
        <v>281</v>
      </c>
      <c r="C165" s="1"/>
      <c r="D165" s="1" t="s">
        <v>98</v>
      </c>
    </row>
    <row r="166" spans="2:5" x14ac:dyDescent="0.3">
      <c r="B166" s="1" t="s">
        <v>282</v>
      </c>
      <c r="C166" s="1"/>
      <c r="D166" s="1" t="s">
        <v>98</v>
      </c>
    </row>
    <row r="167" spans="2:5" x14ac:dyDescent="0.3">
      <c r="B167" s="1"/>
      <c r="C167" s="1"/>
      <c r="D167" s="1"/>
    </row>
    <row r="168" spans="2:5" x14ac:dyDescent="0.3">
      <c r="B168" s="1"/>
      <c r="C168" s="1"/>
      <c r="D168" s="1"/>
    </row>
    <row r="169" spans="2:5" x14ac:dyDescent="0.3">
      <c r="B169" s="1"/>
      <c r="C169" s="1"/>
      <c r="D169" s="1"/>
    </row>
    <row r="170" spans="2:5" x14ac:dyDescent="0.3">
      <c r="B170" s="1"/>
      <c r="C170" s="1"/>
      <c r="D170" s="1"/>
    </row>
    <row r="171" spans="2:5" x14ac:dyDescent="0.3">
      <c r="B171" s="1"/>
      <c r="C171" s="1"/>
      <c r="D171" s="1"/>
    </row>
    <row r="172" spans="2:5" x14ac:dyDescent="0.3">
      <c r="B172" s="1"/>
      <c r="C172" s="1"/>
      <c r="D172" s="1"/>
    </row>
    <row r="173" spans="2:5" x14ac:dyDescent="0.3">
      <c r="B173" s="1"/>
      <c r="C173" s="1"/>
      <c r="D173" s="1"/>
    </row>
    <row r="174" spans="2:5" x14ac:dyDescent="0.3">
      <c r="B174" s="1"/>
      <c r="C174" s="1"/>
      <c r="D174" s="1"/>
    </row>
    <row r="175" spans="2:5" x14ac:dyDescent="0.3">
      <c r="B175" s="1"/>
      <c r="C175" s="1"/>
      <c r="D175" s="1"/>
    </row>
    <row r="176" spans="2:5" x14ac:dyDescent="0.3">
      <c r="B176" s="1"/>
      <c r="C176" s="1"/>
      <c r="D176" s="1"/>
    </row>
    <row r="177" spans="2:4" x14ac:dyDescent="0.3">
      <c r="B177" s="1"/>
      <c r="C177" s="1"/>
      <c r="D177" s="1"/>
    </row>
    <row r="178" spans="2:4" x14ac:dyDescent="0.3">
      <c r="B178" s="1"/>
      <c r="C178" s="1"/>
      <c r="D178" s="1"/>
    </row>
    <row r="179" spans="2:4" x14ac:dyDescent="0.3">
      <c r="B179" s="1"/>
      <c r="C179" s="1"/>
      <c r="D179" s="1"/>
    </row>
    <row r="180" spans="2:4" x14ac:dyDescent="0.3">
      <c r="B180" s="1"/>
      <c r="C180" s="1"/>
      <c r="D180" s="1"/>
    </row>
    <row r="181" spans="2:4" x14ac:dyDescent="0.3">
      <c r="B181" s="1"/>
      <c r="C181" s="1"/>
      <c r="D181" s="1"/>
    </row>
    <row r="182" spans="2:4" x14ac:dyDescent="0.3">
      <c r="B182" s="1"/>
      <c r="C182" s="1"/>
      <c r="D182" s="1"/>
    </row>
    <row r="183" spans="2:4" x14ac:dyDescent="0.3">
      <c r="B183" s="1"/>
      <c r="C183" s="1"/>
      <c r="D183" s="1"/>
    </row>
    <row r="184" spans="2:4" x14ac:dyDescent="0.3">
      <c r="B184" s="1"/>
      <c r="C184" s="1"/>
      <c r="D184" s="1"/>
    </row>
    <row r="185" spans="2:4" x14ac:dyDescent="0.3">
      <c r="B185" s="1"/>
      <c r="C185" s="1"/>
      <c r="D185" s="1"/>
    </row>
    <row r="186" spans="2:4" x14ac:dyDescent="0.3">
      <c r="B186" s="1"/>
      <c r="C186" s="1"/>
      <c r="D186" s="1"/>
    </row>
    <row r="187" spans="2:4" x14ac:dyDescent="0.3">
      <c r="B187" s="1"/>
      <c r="C187" s="1"/>
      <c r="D187" s="1"/>
    </row>
    <row r="188" spans="2:4" x14ac:dyDescent="0.3">
      <c r="B188" s="1"/>
      <c r="C188" s="1"/>
      <c r="D188" s="1"/>
    </row>
    <row r="189" spans="2:4" x14ac:dyDescent="0.3">
      <c r="B189" s="1"/>
      <c r="C189" s="1"/>
      <c r="D189" s="1"/>
    </row>
    <row r="190" spans="2:4" x14ac:dyDescent="0.3">
      <c r="B190" s="1"/>
      <c r="C190" s="1"/>
      <c r="D190" s="1"/>
    </row>
    <row r="191" spans="2:4" x14ac:dyDescent="0.3">
      <c r="B191" s="1"/>
      <c r="C191" s="1"/>
      <c r="D191" s="1"/>
    </row>
    <row r="192" spans="2:4" x14ac:dyDescent="0.3">
      <c r="B192" s="1"/>
      <c r="C192" s="1"/>
      <c r="D192" s="1"/>
    </row>
    <row r="193" spans="2:4" x14ac:dyDescent="0.3">
      <c r="B193" s="1"/>
      <c r="C193" s="1"/>
      <c r="D193" s="1"/>
    </row>
    <row r="194" spans="2:4" x14ac:dyDescent="0.3">
      <c r="B194" s="1"/>
      <c r="C194" s="1"/>
      <c r="D194" s="1"/>
    </row>
    <row r="195" spans="2:4" x14ac:dyDescent="0.3">
      <c r="B195" s="1"/>
      <c r="C195" s="1"/>
      <c r="D195" s="1"/>
    </row>
    <row r="196" spans="2:4" x14ac:dyDescent="0.3">
      <c r="B196" s="1"/>
      <c r="C196" s="1"/>
      <c r="D196" s="1"/>
    </row>
    <row r="197" spans="2:4" x14ac:dyDescent="0.3">
      <c r="B197" s="1"/>
      <c r="C197" s="1"/>
      <c r="D197" s="1"/>
    </row>
    <row r="198" spans="2:4" x14ac:dyDescent="0.3">
      <c r="B198" s="1"/>
      <c r="C198" s="1"/>
      <c r="D198" s="1"/>
    </row>
    <row r="199" spans="2:4" x14ac:dyDescent="0.3">
      <c r="B199" s="1"/>
      <c r="C199" s="1"/>
      <c r="D199" s="1"/>
    </row>
    <row r="200" spans="2:4" x14ac:dyDescent="0.3">
      <c r="B200" s="1"/>
      <c r="C200" s="1"/>
      <c r="D200" s="1"/>
    </row>
  </sheetData>
  <autoFilter ref="B3:E124" xr:uid="{00000000-0001-0000-0000-000000000000}">
    <sortState xmlns:xlrd2="http://schemas.microsoft.com/office/spreadsheetml/2017/richdata2" ref="B4:E166">
      <sortCondition ref="B3:B124"/>
    </sortState>
  </autoFilter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Connect">
          <controlPr defaultSize="0" autoLine="0" r:id="rId5">
            <anchor moveWithCells="1">
              <from>
                <xdr:col>1</xdr:col>
                <xdr:colOff>457200</xdr:colOff>
                <xdr:row>0</xdr:row>
                <xdr:rowOff>22860</xdr:rowOff>
              </from>
              <to>
                <xdr:col>1</xdr:col>
                <xdr:colOff>1653540</xdr:colOff>
                <xdr:row>0</xdr:row>
                <xdr:rowOff>327660</xdr:rowOff>
              </to>
            </anchor>
          </controlPr>
        </control>
      </mc:Choice>
      <mc:Fallback>
        <control shapeId="1027" r:id="rId4" name="btnConnect"/>
      </mc:Fallback>
    </mc:AlternateContent>
    <mc:AlternateContent xmlns:mc="http://schemas.openxmlformats.org/markup-compatibility/2006">
      <mc:Choice Requires="x14">
        <control shapeId="1028" r:id="rId6" name="btnShowArt">
          <controlPr defaultSize="0" autoLine="0" r:id="rId7">
            <anchor moveWithCells="1">
              <from>
                <xdr:col>0</xdr:col>
                <xdr:colOff>1104900</xdr:colOff>
                <xdr:row>2</xdr:row>
                <xdr:rowOff>38100</xdr:rowOff>
              </from>
              <to>
                <xdr:col>0</xdr:col>
                <xdr:colOff>2377440</xdr:colOff>
                <xdr:row>2</xdr:row>
                <xdr:rowOff>342900</xdr:rowOff>
              </to>
            </anchor>
          </controlPr>
        </control>
      </mc:Choice>
      <mc:Fallback>
        <control shapeId="1028" r:id="rId6" name="btnShowA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EBA82-D8A3-435A-A1CE-E18A1BF1731E}">
  <sheetPr codeName="vic20">
    <tabColor rgb="FFF4ECCD"/>
  </sheetPr>
  <dimension ref="A1:F9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4.4" x14ac:dyDescent="0.3"/>
  <cols>
    <col min="1" max="1" width="50.77734375" customWidth="1"/>
    <col min="2" max="2" width="30.77734375" style="1" customWidth="1"/>
    <col min="3" max="3" width="15.77734375" customWidth="1"/>
    <col min="4" max="4" width="15.77734375" style="1" customWidth="1"/>
    <col min="5" max="5" width="50.77734375" customWidth="1"/>
    <col min="6" max="6" width="22.109375" hidden="1" customWidth="1"/>
  </cols>
  <sheetData>
    <row r="1" spans="1:6" ht="28.8" customHeight="1" thickBot="1" x14ac:dyDescent="0.35">
      <c r="A1" s="4"/>
      <c r="B1" s="7"/>
      <c r="C1" s="9">
        <f>D2/D1</f>
        <v>0</v>
      </c>
      <c r="D1" s="13">
        <v>174848</v>
      </c>
      <c r="E1" s="4"/>
    </row>
    <row r="2" spans="1:6" ht="28.8" customHeight="1" thickBot="1" x14ac:dyDescent="0.35">
      <c r="A2" s="4" t="str">
        <f>IF(ISBLANK(B2),"",_xlfn.XLOOKUP(B2,B4:B10000,B4:B10000,""))</f>
        <v>Adventure Land.d64</v>
      </c>
      <c r="B2" s="8" t="s">
        <v>208</v>
      </c>
      <c r="C2" s="7" t="str">
        <f>D2&amp;"/"&amp;D1</f>
        <v>0/174848</v>
      </c>
      <c r="D2" s="13">
        <v>0</v>
      </c>
      <c r="E2" s="5"/>
    </row>
    <row r="3" spans="1:6" ht="28.8" customHeight="1" x14ac:dyDescent="0.3">
      <c r="A3" s="4"/>
      <c r="B3" s="4" t="s">
        <v>11</v>
      </c>
      <c r="C3" s="4" t="s">
        <v>93</v>
      </c>
      <c r="D3" s="4" t="s">
        <v>94</v>
      </c>
      <c r="E3" s="4" t="s">
        <v>95</v>
      </c>
    </row>
    <row r="4" spans="1:6" x14ac:dyDescent="0.3">
      <c r="A4" s="1"/>
      <c r="B4" s="1" t="s">
        <v>208</v>
      </c>
      <c r="C4" s="1"/>
      <c r="D4" s="1" t="s">
        <v>72</v>
      </c>
      <c r="E4" t="s">
        <v>52</v>
      </c>
      <c r="F4" s="2" t="s">
        <v>244</v>
      </c>
    </row>
    <row r="5" spans="1:6" x14ac:dyDescent="0.3">
      <c r="A5" s="1"/>
      <c r="B5" s="1" t="s">
        <v>209</v>
      </c>
      <c r="C5" s="1"/>
      <c r="D5" s="1" t="s">
        <v>72</v>
      </c>
      <c r="E5" t="s">
        <v>52</v>
      </c>
      <c r="F5" s="2" t="s">
        <v>244</v>
      </c>
    </row>
    <row r="6" spans="1:6" x14ac:dyDescent="0.3">
      <c r="A6" s="1"/>
      <c r="B6" s="1" t="s">
        <v>27</v>
      </c>
      <c r="C6" s="1"/>
      <c r="D6" s="1" t="s">
        <v>28</v>
      </c>
      <c r="E6" t="s">
        <v>29</v>
      </c>
    </row>
    <row r="7" spans="1:6" x14ac:dyDescent="0.3">
      <c r="A7" s="1"/>
      <c r="B7" s="1" t="s">
        <v>30</v>
      </c>
      <c r="C7" s="1" t="s">
        <v>97</v>
      </c>
      <c r="D7" s="1" t="s">
        <v>28</v>
      </c>
      <c r="E7" t="s">
        <v>29</v>
      </c>
      <c r="F7" s="2" t="s">
        <v>244</v>
      </c>
    </row>
    <row r="8" spans="1:6" x14ac:dyDescent="0.3">
      <c r="A8" s="1"/>
      <c r="B8" s="1" t="s">
        <v>31</v>
      </c>
      <c r="C8" s="1"/>
      <c r="D8" s="1" t="s">
        <v>32</v>
      </c>
      <c r="E8" t="s">
        <v>33</v>
      </c>
    </row>
    <row r="9" spans="1:6" x14ac:dyDescent="0.3">
      <c r="A9" s="1"/>
      <c r="B9" s="1" t="s">
        <v>34</v>
      </c>
      <c r="C9" s="1"/>
      <c r="D9" s="1" t="s">
        <v>28</v>
      </c>
      <c r="E9" t="s">
        <v>29</v>
      </c>
    </row>
    <row r="10" spans="1:6" x14ac:dyDescent="0.3">
      <c r="A10" s="1"/>
      <c r="B10" s="1" t="s">
        <v>35</v>
      </c>
      <c r="C10" s="1"/>
      <c r="D10" s="1" t="s">
        <v>36</v>
      </c>
      <c r="E10" t="s">
        <v>33</v>
      </c>
    </row>
    <row r="11" spans="1:6" x14ac:dyDescent="0.3">
      <c r="A11" s="1"/>
      <c r="B11" s="1" t="s">
        <v>37</v>
      </c>
      <c r="C11" s="1"/>
      <c r="D11" s="1" t="s">
        <v>36</v>
      </c>
      <c r="E11" t="s">
        <v>33</v>
      </c>
    </row>
    <row r="12" spans="1:6" x14ac:dyDescent="0.3">
      <c r="A12" s="1"/>
      <c r="B12" s="1" t="s">
        <v>38</v>
      </c>
      <c r="C12" s="1"/>
      <c r="D12" s="1" t="s">
        <v>32</v>
      </c>
      <c r="E12" t="s">
        <v>33</v>
      </c>
    </row>
    <row r="13" spans="1:6" x14ac:dyDescent="0.3">
      <c r="A13" s="1"/>
      <c r="B13" s="1" t="s">
        <v>39</v>
      </c>
      <c r="C13" s="1"/>
      <c r="D13" s="1" t="s">
        <v>32</v>
      </c>
      <c r="E13" t="s">
        <v>33</v>
      </c>
    </row>
    <row r="14" spans="1:6" x14ac:dyDescent="0.3">
      <c r="A14" s="1"/>
      <c r="B14" s="1" t="s">
        <v>40</v>
      </c>
      <c r="C14" s="1"/>
      <c r="D14" s="1" t="s">
        <v>32</v>
      </c>
      <c r="E14" t="s">
        <v>33</v>
      </c>
    </row>
    <row r="15" spans="1:6" x14ac:dyDescent="0.3">
      <c r="A15" s="1"/>
      <c r="B15" s="1" t="s">
        <v>210</v>
      </c>
      <c r="C15" s="1"/>
      <c r="D15" s="1" t="s">
        <v>72</v>
      </c>
      <c r="E15" t="s">
        <v>52</v>
      </c>
    </row>
    <row r="16" spans="1:6" x14ac:dyDescent="0.3">
      <c r="A16" s="1"/>
      <c r="B16" s="1" t="s">
        <v>41</v>
      </c>
      <c r="C16" s="1"/>
      <c r="D16" s="1" t="s">
        <v>36</v>
      </c>
      <c r="E16" t="s">
        <v>33</v>
      </c>
    </row>
    <row r="17" spans="1:6" x14ac:dyDescent="0.3">
      <c r="A17" s="1"/>
      <c r="B17" s="1" t="s">
        <v>42</v>
      </c>
      <c r="C17" s="1"/>
      <c r="D17" s="1" t="s">
        <v>28</v>
      </c>
      <c r="E17" t="s">
        <v>29</v>
      </c>
    </row>
    <row r="18" spans="1:6" x14ac:dyDescent="0.3">
      <c r="A18" s="1"/>
      <c r="B18" s="1" t="s">
        <v>264</v>
      </c>
      <c r="D18" s="1" t="s">
        <v>28</v>
      </c>
      <c r="E18" t="s">
        <v>29</v>
      </c>
    </row>
    <row r="19" spans="1:6" x14ac:dyDescent="0.3">
      <c r="A19" s="1"/>
      <c r="B19" s="1" t="s">
        <v>211</v>
      </c>
      <c r="C19" s="1"/>
      <c r="D19" s="1" t="s">
        <v>72</v>
      </c>
      <c r="E19" t="s">
        <v>29</v>
      </c>
    </row>
    <row r="20" spans="1:6" x14ac:dyDescent="0.3">
      <c r="A20" s="1"/>
      <c r="B20" s="1" t="s">
        <v>43</v>
      </c>
      <c r="C20" s="1"/>
      <c r="D20" s="1" t="s">
        <v>32</v>
      </c>
      <c r="E20" t="s">
        <v>33</v>
      </c>
      <c r="F20" s="2" t="s">
        <v>244</v>
      </c>
    </row>
    <row r="21" spans="1:6" x14ac:dyDescent="0.3">
      <c r="A21" s="1"/>
      <c r="B21" s="1" t="s">
        <v>212</v>
      </c>
      <c r="C21" s="1"/>
      <c r="D21" s="1" t="s">
        <v>213</v>
      </c>
      <c r="E21" t="s">
        <v>52</v>
      </c>
    </row>
    <row r="22" spans="1:6" x14ac:dyDescent="0.3">
      <c r="B22" s="1" t="s">
        <v>44</v>
      </c>
      <c r="C22" s="1"/>
      <c r="D22" s="1" t="s">
        <v>32</v>
      </c>
      <c r="E22" t="s">
        <v>33</v>
      </c>
    </row>
    <row r="23" spans="1:6" x14ac:dyDescent="0.3">
      <c r="B23" s="1" t="s">
        <v>45</v>
      </c>
      <c r="C23" s="1"/>
      <c r="D23" s="1" t="s">
        <v>32</v>
      </c>
      <c r="E23" t="s">
        <v>33</v>
      </c>
    </row>
    <row r="24" spans="1:6" x14ac:dyDescent="0.3">
      <c r="B24" s="1" t="s">
        <v>214</v>
      </c>
      <c r="C24" s="1"/>
      <c r="D24" s="1" t="s">
        <v>32</v>
      </c>
      <c r="E24" t="s">
        <v>52</v>
      </c>
      <c r="F24" s="2" t="s">
        <v>244</v>
      </c>
    </row>
    <row r="25" spans="1:6" x14ac:dyDescent="0.3">
      <c r="B25" s="1" t="s">
        <v>129</v>
      </c>
      <c r="C25" s="1"/>
      <c r="D25" s="1" t="s">
        <v>72</v>
      </c>
      <c r="E25" t="s">
        <v>52</v>
      </c>
    </row>
    <row r="26" spans="1:6" x14ac:dyDescent="0.3">
      <c r="B26" s="1" t="s">
        <v>46</v>
      </c>
      <c r="C26" s="1"/>
      <c r="D26" s="1" t="s">
        <v>32</v>
      </c>
      <c r="E26" t="s">
        <v>33</v>
      </c>
      <c r="F26" s="2" t="s">
        <v>244</v>
      </c>
    </row>
    <row r="27" spans="1:6" x14ac:dyDescent="0.3">
      <c r="B27" s="1" t="s">
        <v>134</v>
      </c>
      <c r="C27" s="1"/>
      <c r="D27" s="1" t="s">
        <v>72</v>
      </c>
      <c r="E27" t="s">
        <v>52</v>
      </c>
    </row>
    <row r="28" spans="1:6" x14ac:dyDescent="0.3">
      <c r="B28" s="1" t="s">
        <v>47</v>
      </c>
      <c r="C28" s="1"/>
      <c r="D28" s="1" t="s">
        <v>32</v>
      </c>
      <c r="E28" t="s">
        <v>33</v>
      </c>
    </row>
    <row r="29" spans="1:6" x14ac:dyDescent="0.3">
      <c r="B29" s="1" t="s">
        <v>215</v>
      </c>
      <c r="C29" s="1"/>
      <c r="D29" s="1" t="s">
        <v>28</v>
      </c>
      <c r="E29" t="s">
        <v>216</v>
      </c>
    </row>
    <row r="30" spans="1:6" x14ac:dyDescent="0.3">
      <c r="B30" s="1" t="s">
        <v>48</v>
      </c>
      <c r="C30" s="1"/>
      <c r="D30" s="1" t="s">
        <v>32</v>
      </c>
      <c r="E30" t="s">
        <v>33</v>
      </c>
    </row>
    <row r="31" spans="1:6" x14ac:dyDescent="0.3">
      <c r="B31" s="1" t="s">
        <v>49</v>
      </c>
      <c r="C31" s="1"/>
      <c r="D31" s="1" t="s">
        <v>32</v>
      </c>
      <c r="E31" t="s">
        <v>33</v>
      </c>
    </row>
    <row r="32" spans="1:6" x14ac:dyDescent="0.3">
      <c r="B32" s="1" t="s">
        <v>50</v>
      </c>
      <c r="C32" s="1"/>
      <c r="D32" s="1" t="s">
        <v>51</v>
      </c>
      <c r="E32" t="s">
        <v>52</v>
      </c>
    </row>
    <row r="33" spans="2:6" x14ac:dyDescent="0.3">
      <c r="B33" s="1" t="s">
        <v>53</v>
      </c>
      <c r="C33" s="1"/>
      <c r="D33" s="1" t="s">
        <v>28</v>
      </c>
      <c r="E33" t="s">
        <v>29</v>
      </c>
      <c r="F33" s="2" t="s">
        <v>244</v>
      </c>
    </row>
    <row r="34" spans="2:6" x14ac:dyDescent="0.3">
      <c r="B34" s="1" t="s">
        <v>54</v>
      </c>
      <c r="C34" s="1"/>
      <c r="D34" s="1" t="s">
        <v>51</v>
      </c>
      <c r="E34" t="s">
        <v>52</v>
      </c>
    </row>
    <row r="35" spans="2:6" x14ac:dyDescent="0.3">
      <c r="B35" s="1" t="s">
        <v>217</v>
      </c>
      <c r="C35" s="1"/>
      <c r="D35" s="1" t="s">
        <v>213</v>
      </c>
      <c r="E35" t="s">
        <v>64</v>
      </c>
    </row>
    <row r="36" spans="2:6" x14ac:dyDescent="0.3">
      <c r="B36" s="1" t="s">
        <v>55</v>
      </c>
      <c r="C36" s="1"/>
      <c r="D36" s="1" t="s">
        <v>32</v>
      </c>
      <c r="E36" t="s">
        <v>33</v>
      </c>
    </row>
    <row r="37" spans="2:6" x14ac:dyDescent="0.3">
      <c r="B37" s="1" t="s">
        <v>56</v>
      </c>
      <c r="C37" s="1"/>
      <c r="D37" s="1" t="s">
        <v>32</v>
      </c>
      <c r="E37" t="s">
        <v>52</v>
      </c>
    </row>
    <row r="38" spans="2:6" x14ac:dyDescent="0.3">
      <c r="B38" s="1" t="s">
        <v>218</v>
      </c>
      <c r="C38" s="1"/>
      <c r="D38" s="1" t="s">
        <v>213</v>
      </c>
      <c r="E38" t="s">
        <v>52</v>
      </c>
    </row>
    <row r="39" spans="2:6" x14ac:dyDescent="0.3">
      <c r="B39" s="1" t="s">
        <v>57</v>
      </c>
      <c r="C39" s="1"/>
      <c r="D39" s="1" t="s">
        <v>32</v>
      </c>
      <c r="E39" t="s">
        <v>33</v>
      </c>
    </row>
    <row r="40" spans="2:6" x14ac:dyDescent="0.3">
      <c r="B40" s="1" t="s">
        <v>160</v>
      </c>
      <c r="C40" s="1"/>
      <c r="D40" s="1" t="s">
        <v>72</v>
      </c>
      <c r="E40" t="s">
        <v>52</v>
      </c>
    </row>
    <row r="41" spans="2:6" x14ac:dyDescent="0.3">
      <c r="B41" s="1" t="s">
        <v>58</v>
      </c>
      <c r="C41" s="1" t="s">
        <v>97</v>
      </c>
      <c r="D41" s="1" t="s">
        <v>59</v>
      </c>
      <c r="E41" t="s">
        <v>52</v>
      </c>
    </row>
    <row r="42" spans="2:6" x14ac:dyDescent="0.3">
      <c r="B42" s="1" t="s">
        <v>60</v>
      </c>
      <c r="C42" s="1"/>
      <c r="D42" s="1" t="s">
        <v>28</v>
      </c>
      <c r="E42" t="s">
        <v>29</v>
      </c>
    </row>
    <row r="43" spans="2:6" x14ac:dyDescent="0.3">
      <c r="B43" s="1" t="s">
        <v>61</v>
      </c>
      <c r="C43" s="1"/>
      <c r="D43" s="1" t="s">
        <v>28</v>
      </c>
      <c r="E43" t="s">
        <v>62</v>
      </c>
    </row>
    <row r="44" spans="2:6" x14ac:dyDescent="0.3">
      <c r="B44" s="1" t="s">
        <v>219</v>
      </c>
      <c r="C44" s="1"/>
      <c r="D44" s="1" t="s">
        <v>32</v>
      </c>
      <c r="E44" t="s">
        <v>52</v>
      </c>
    </row>
    <row r="45" spans="2:6" x14ac:dyDescent="0.3">
      <c r="B45" s="1" t="s">
        <v>220</v>
      </c>
      <c r="C45" s="1"/>
      <c r="D45" s="1" t="s">
        <v>72</v>
      </c>
      <c r="E45" t="s">
        <v>52</v>
      </c>
      <c r="F45" s="2" t="s">
        <v>244</v>
      </c>
    </row>
    <row r="46" spans="2:6" x14ac:dyDescent="0.3">
      <c r="B46" s="1" t="s">
        <v>221</v>
      </c>
      <c r="C46" s="1"/>
      <c r="D46" s="1" t="s">
        <v>72</v>
      </c>
      <c r="E46" t="s">
        <v>52</v>
      </c>
    </row>
    <row r="47" spans="2:6" x14ac:dyDescent="0.3">
      <c r="B47" s="1" t="s">
        <v>63</v>
      </c>
      <c r="C47" s="1"/>
      <c r="D47" s="1" t="s">
        <v>32</v>
      </c>
      <c r="E47" t="s">
        <v>64</v>
      </c>
    </row>
    <row r="48" spans="2:6" x14ac:dyDescent="0.3">
      <c r="B48" s="1" t="s">
        <v>65</v>
      </c>
      <c r="C48" s="1"/>
      <c r="D48" s="1" t="s">
        <v>36</v>
      </c>
      <c r="E48" t="s">
        <v>33</v>
      </c>
    </row>
    <row r="49" spans="2:6" x14ac:dyDescent="0.3">
      <c r="B49" s="1" t="s">
        <v>222</v>
      </c>
      <c r="C49" s="1"/>
      <c r="D49" s="1" t="s">
        <v>72</v>
      </c>
      <c r="E49" t="s">
        <v>52</v>
      </c>
      <c r="F49" s="2" t="s">
        <v>244</v>
      </c>
    </row>
    <row r="50" spans="2:6" x14ac:dyDescent="0.3">
      <c r="B50" s="1" t="s">
        <v>223</v>
      </c>
      <c r="C50" s="1"/>
      <c r="D50" s="1" t="s">
        <v>72</v>
      </c>
      <c r="E50" t="s">
        <v>52</v>
      </c>
      <c r="F50" s="2" t="s">
        <v>244</v>
      </c>
    </row>
    <row r="51" spans="2:6" x14ac:dyDescent="0.3">
      <c r="B51" s="1" t="s">
        <v>66</v>
      </c>
      <c r="C51" s="1"/>
      <c r="D51" s="1" t="s">
        <v>67</v>
      </c>
      <c r="E51" t="s">
        <v>68</v>
      </c>
    </row>
    <row r="52" spans="2:6" x14ac:dyDescent="0.3">
      <c r="B52" s="1" t="s">
        <v>69</v>
      </c>
      <c r="C52" s="1"/>
      <c r="D52" s="1" t="s">
        <v>32</v>
      </c>
      <c r="E52" t="s">
        <v>33</v>
      </c>
    </row>
    <row r="53" spans="2:6" x14ac:dyDescent="0.3">
      <c r="B53" s="1" t="s">
        <v>70</v>
      </c>
      <c r="C53" s="1"/>
      <c r="D53" s="1" t="s">
        <v>32</v>
      </c>
      <c r="E53" t="s">
        <v>33</v>
      </c>
      <c r="F53" s="2" t="s">
        <v>244</v>
      </c>
    </row>
    <row r="54" spans="2:6" x14ac:dyDescent="0.3">
      <c r="B54" s="1" t="s">
        <v>224</v>
      </c>
      <c r="C54" s="1"/>
      <c r="D54" s="1" t="s">
        <v>213</v>
      </c>
      <c r="E54" t="s">
        <v>52</v>
      </c>
    </row>
    <row r="55" spans="2:6" x14ac:dyDescent="0.3">
      <c r="B55" s="1" t="s">
        <v>71</v>
      </c>
      <c r="C55" s="1"/>
      <c r="D55" s="1" t="s">
        <v>72</v>
      </c>
      <c r="E55" t="s">
        <v>52</v>
      </c>
      <c r="F55" s="2" t="s">
        <v>244</v>
      </c>
    </row>
    <row r="56" spans="2:6" x14ac:dyDescent="0.3">
      <c r="B56" s="1" t="s">
        <v>225</v>
      </c>
      <c r="C56" s="1"/>
      <c r="D56" s="1" t="s">
        <v>72</v>
      </c>
      <c r="E56" t="s">
        <v>52</v>
      </c>
    </row>
    <row r="57" spans="2:6" x14ac:dyDescent="0.3">
      <c r="B57" s="1" t="s">
        <v>226</v>
      </c>
      <c r="C57" s="1"/>
      <c r="D57" s="1" t="s">
        <v>72</v>
      </c>
      <c r="E57" t="s">
        <v>52</v>
      </c>
    </row>
    <row r="58" spans="2:6" x14ac:dyDescent="0.3">
      <c r="B58" s="1" t="s">
        <v>73</v>
      </c>
      <c r="C58" s="1"/>
      <c r="D58" s="1" t="s">
        <v>32</v>
      </c>
      <c r="E58" t="s">
        <v>52</v>
      </c>
    </row>
    <row r="59" spans="2:6" x14ac:dyDescent="0.3">
      <c r="B59" s="1" t="s">
        <v>74</v>
      </c>
      <c r="C59" s="1"/>
      <c r="D59" s="1" t="s">
        <v>32</v>
      </c>
      <c r="E59" t="s">
        <v>64</v>
      </c>
    </row>
    <row r="60" spans="2:6" x14ac:dyDescent="0.3">
      <c r="B60" s="1" t="s">
        <v>75</v>
      </c>
      <c r="C60" s="1"/>
      <c r="D60" s="1" t="s">
        <v>32</v>
      </c>
      <c r="E60" t="s">
        <v>52</v>
      </c>
    </row>
    <row r="61" spans="2:6" x14ac:dyDescent="0.3">
      <c r="B61" s="1" t="s">
        <v>76</v>
      </c>
      <c r="C61" s="1"/>
      <c r="D61" s="1" t="s">
        <v>32</v>
      </c>
      <c r="E61" t="s">
        <v>33</v>
      </c>
    </row>
    <row r="62" spans="2:6" x14ac:dyDescent="0.3">
      <c r="B62" s="1" t="s">
        <v>77</v>
      </c>
      <c r="C62" s="1"/>
      <c r="D62" s="1" t="s">
        <v>32</v>
      </c>
      <c r="E62" t="s">
        <v>52</v>
      </c>
    </row>
    <row r="63" spans="2:6" x14ac:dyDescent="0.3">
      <c r="B63" s="1" t="s">
        <v>227</v>
      </c>
      <c r="C63" s="1"/>
      <c r="D63" s="1" t="s">
        <v>72</v>
      </c>
      <c r="E63" t="s">
        <v>52</v>
      </c>
    </row>
    <row r="64" spans="2:6" x14ac:dyDescent="0.3">
      <c r="B64" s="1" t="s">
        <v>228</v>
      </c>
      <c r="C64" s="1"/>
      <c r="D64" s="1" t="s">
        <v>59</v>
      </c>
      <c r="E64" t="s">
        <v>52</v>
      </c>
    </row>
    <row r="65" spans="2:6" x14ac:dyDescent="0.3">
      <c r="B65" s="1" t="s">
        <v>229</v>
      </c>
      <c r="C65" s="1"/>
      <c r="D65" s="1" t="s">
        <v>67</v>
      </c>
      <c r="E65" t="s">
        <v>52</v>
      </c>
    </row>
    <row r="66" spans="2:6" x14ac:dyDescent="0.3">
      <c r="B66" s="1" t="s">
        <v>78</v>
      </c>
      <c r="C66" s="1"/>
      <c r="D66" s="1" t="s">
        <v>32</v>
      </c>
      <c r="E66" t="s">
        <v>52</v>
      </c>
      <c r="F66" s="2" t="s">
        <v>244</v>
      </c>
    </row>
    <row r="67" spans="2:6" x14ac:dyDescent="0.3">
      <c r="B67" s="1" t="s">
        <v>79</v>
      </c>
      <c r="C67" s="1" t="s">
        <v>97</v>
      </c>
      <c r="D67" s="1" t="s">
        <v>32</v>
      </c>
      <c r="E67" t="s">
        <v>52</v>
      </c>
    </row>
    <row r="68" spans="2:6" x14ac:dyDescent="0.3">
      <c r="B68" s="1" t="s">
        <v>230</v>
      </c>
      <c r="C68" s="1"/>
      <c r="D68" s="1" t="s">
        <v>36</v>
      </c>
      <c r="E68" t="s">
        <v>33</v>
      </c>
    </row>
    <row r="69" spans="2:6" x14ac:dyDescent="0.3">
      <c r="B69" s="1" t="s">
        <v>80</v>
      </c>
      <c r="C69" s="1"/>
      <c r="D69" s="1" t="s">
        <v>32</v>
      </c>
      <c r="E69" t="s">
        <v>33</v>
      </c>
    </row>
    <row r="70" spans="2:6" x14ac:dyDescent="0.3">
      <c r="B70" s="1" t="s">
        <v>81</v>
      </c>
      <c r="C70" s="1"/>
      <c r="D70" s="1" t="s">
        <v>32</v>
      </c>
      <c r="E70" t="s">
        <v>33</v>
      </c>
    </row>
    <row r="71" spans="2:6" x14ac:dyDescent="0.3">
      <c r="B71" s="1" t="s">
        <v>231</v>
      </c>
      <c r="C71" s="1"/>
      <c r="D71" s="1" t="s">
        <v>72</v>
      </c>
      <c r="E71" t="s">
        <v>52</v>
      </c>
      <c r="F71" s="2" t="s">
        <v>244</v>
      </c>
    </row>
    <row r="72" spans="2:6" x14ac:dyDescent="0.3">
      <c r="B72" s="1" t="s">
        <v>82</v>
      </c>
      <c r="C72" s="1" t="s">
        <v>97</v>
      </c>
      <c r="D72" s="1" t="s">
        <v>32</v>
      </c>
      <c r="E72" t="s">
        <v>33</v>
      </c>
      <c r="F72" s="2" t="s">
        <v>244</v>
      </c>
    </row>
    <row r="73" spans="2:6" x14ac:dyDescent="0.3">
      <c r="B73" s="1" t="s">
        <v>83</v>
      </c>
      <c r="C73" s="1" t="s">
        <v>97</v>
      </c>
      <c r="D73" s="1" t="s">
        <v>32</v>
      </c>
      <c r="E73" t="s">
        <v>33</v>
      </c>
    </row>
    <row r="74" spans="2:6" x14ac:dyDescent="0.3">
      <c r="B74" s="1" t="s">
        <v>84</v>
      </c>
      <c r="C74" s="1"/>
      <c r="D74" s="1" t="s">
        <v>72</v>
      </c>
      <c r="E74" t="s">
        <v>52</v>
      </c>
    </row>
    <row r="75" spans="2:6" x14ac:dyDescent="0.3">
      <c r="B75" s="1" t="s">
        <v>232</v>
      </c>
      <c r="C75" s="1"/>
      <c r="D75" s="1" t="s">
        <v>72</v>
      </c>
      <c r="E75" t="s">
        <v>52</v>
      </c>
    </row>
    <row r="76" spans="2:6" x14ac:dyDescent="0.3">
      <c r="B76" s="1" t="s">
        <v>85</v>
      </c>
      <c r="C76" s="1"/>
      <c r="D76" s="1" t="s">
        <v>67</v>
      </c>
      <c r="E76" t="s">
        <v>33</v>
      </c>
    </row>
    <row r="77" spans="2:6" x14ac:dyDescent="0.3">
      <c r="B77" s="1" t="s">
        <v>233</v>
      </c>
      <c r="C77" s="1"/>
      <c r="D77" s="1" t="s">
        <v>32</v>
      </c>
      <c r="E77" t="s">
        <v>52</v>
      </c>
    </row>
    <row r="78" spans="2:6" x14ac:dyDescent="0.3">
      <c r="B78" s="1" t="s">
        <v>234</v>
      </c>
      <c r="C78" s="1"/>
      <c r="D78" s="1" t="s">
        <v>72</v>
      </c>
      <c r="E78" t="s">
        <v>52</v>
      </c>
    </row>
    <row r="79" spans="2:6" x14ac:dyDescent="0.3">
      <c r="B79" s="1" t="s">
        <v>86</v>
      </c>
      <c r="C79" s="1"/>
      <c r="D79" s="1" t="s">
        <v>32</v>
      </c>
      <c r="E79" t="s">
        <v>33</v>
      </c>
    </row>
    <row r="80" spans="2:6" x14ac:dyDescent="0.3">
      <c r="B80" s="1" t="s">
        <v>87</v>
      </c>
      <c r="C80" s="1"/>
      <c r="D80" s="1" t="s">
        <v>72</v>
      </c>
      <c r="E80" t="s">
        <v>88</v>
      </c>
    </row>
    <row r="81" spans="2:6" x14ac:dyDescent="0.3">
      <c r="B81" s="1" t="s">
        <v>89</v>
      </c>
      <c r="C81" s="1"/>
      <c r="D81" s="1" t="s">
        <v>32</v>
      </c>
      <c r="E81" t="s">
        <v>33</v>
      </c>
    </row>
    <row r="82" spans="2:6" x14ac:dyDescent="0.3">
      <c r="B82" s="1" t="s">
        <v>90</v>
      </c>
      <c r="C82" s="1"/>
      <c r="D82" s="1" t="s">
        <v>32</v>
      </c>
      <c r="E82" t="s">
        <v>52</v>
      </c>
    </row>
    <row r="83" spans="2:6" x14ac:dyDescent="0.3">
      <c r="B83" s="1" t="s">
        <v>235</v>
      </c>
      <c r="C83" s="1"/>
      <c r="D83" s="1" t="s">
        <v>213</v>
      </c>
      <c r="E83" t="s">
        <v>52</v>
      </c>
    </row>
    <row r="84" spans="2:6" x14ac:dyDescent="0.3">
      <c r="B84" s="1" t="s">
        <v>91</v>
      </c>
      <c r="C84" s="1"/>
      <c r="D84" s="1" t="s">
        <v>28</v>
      </c>
      <c r="E84" t="s">
        <v>29</v>
      </c>
      <c r="F84" s="2" t="s">
        <v>244</v>
      </c>
    </row>
    <row r="85" spans="2:6" x14ac:dyDescent="0.3">
      <c r="B85" s="1" t="s">
        <v>92</v>
      </c>
      <c r="C85" s="1"/>
      <c r="D85" s="1" t="s">
        <v>67</v>
      </c>
      <c r="E85" t="s">
        <v>68</v>
      </c>
    </row>
    <row r="86" spans="2:6" x14ac:dyDescent="0.3">
      <c r="B86" s="1" t="s">
        <v>236</v>
      </c>
      <c r="C86" s="1"/>
      <c r="D86" s="1" t="s">
        <v>72</v>
      </c>
      <c r="E86" t="s">
        <v>52</v>
      </c>
    </row>
    <row r="87" spans="2:6" x14ac:dyDescent="0.3">
      <c r="B87" s="1" t="s">
        <v>237</v>
      </c>
      <c r="C87" s="1"/>
      <c r="D87" s="1" t="s">
        <v>32</v>
      </c>
      <c r="E87" t="s">
        <v>52</v>
      </c>
    </row>
    <row r="88" spans="2:6" x14ac:dyDescent="0.3">
      <c r="B88" s="1" t="s">
        <v>238</v>
      </c>
      <c r="C88" s="1"/>
      <c r="D88" s="1" t="s">
        <v>32</v>
      </c>
      <c r="E88" t="s">
        <v>52</v>
      </c>
    </row>
    <row r="89" spans="2:6" x14ac:dyDescent="0.3">
      <c r="B89" s="1" t="s">
        <v>265</v>
      </c>
      <c r="D89" s="1" t="s">
        <v>51</v>
      </c>
      <c r="E89" t="s">
        <v>52</v>
      </c>
    </row>
    <row r="90" spans="2:6" x14ac:dyDescent="0.3">
      <c r="B90" s="1" t="s">
        <v>239</v>
      </c>
      <c r="C90" s="1"/>
      <c r="D90" s="1" t="s">
        <v>32</v>
      </c>
      <c r="E90" t="s">
        <v>240</v>
      </c>
    </row>
    <row r="91" spans="2:6" x14ac:dyDescent="0.3">
      <c r="B91" s="1" t="s">
        <v>241</v>
      </c>
      <c r="C91" s="1"/>
      <c r="D91" s="1" t="s">
        <v>72</v>
      </c>
      <c r="E91" t="s">
        <v>52</v>
      </c>
    </row>
    <row r="92" spans="2:6" x14ac:dyDescent="0.3">
      <c r="B92" s="1" t="s">
        <v>242</v>
      </c>
      <c r="C92" s="1"/>
      <c r="D92" s="1" t="s">
        <v>213</v>
      </c>
      <c r="E92" t="s">
        <v>52</v>
      </c>
    </row>
    <row r="93" spans="2:6" x14ac:dyDescent="0.3">
      <c r="B93" s="1" t="s">
        <v>283</v>
      </c>
    </row>
    <row r="94" spans="2:6" x14ac:dyDescent="0.3">
      <c r="B94" s="1" t="s">
        <v>284</v>
      </c>
    </row>
    <row r="95" spans="2:6" x14ac:dyDescent="0.3">
      <c r="B95" s="1" t="s">
        <v>285</v>
      </c>
    </row>
  </sheetData>
  <autoFilter ref="B3:E55" xr:uid="{2CFEBA82-D8A3-435A-A1CE-E18A1BF1731E}">
    <sortState xmlns:xlrd2="http://schemas.microsoft.com/office/spreadsheetml/2017/richdata2" ref="B4:E92">
      <sortCondition ref="B3:B55"/>
    </sortState>
  </autoFilter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btnConnect">
          <controlPr defaultSize="0" autoLine="0" r:id="rId4">
            <anchor moveWithCells="1">
              <from>
                <xdr:col>1</xdr:col>
                <xdr:colOff>457200</xdr:colOff>
                <xdr:row>0</xdr:row>
                <xdr:rowOff>30480</xdr:rowOff>
              </from>
              <to>
                <xdr:col>1</xdr:col>
                <xdr:colOff>1653540</xdr:colOff>
                <xdr:row>0</xdr:row>
                <xdr:rowOff>335280</xdr:rowOff>
              </to>
            </anchor>
          </controlPr>
        </control>
      </mc:Choice>
      <mc:Fallback>
        <control shapeId="2051" r:id="rId3" name="btnConnect"/>
      </mc:Fallback>
    </mc:AlternateContent>
    <mc:AlternateContent xmlns:mc="http://schemas.openxmlformats.org/markup-compatibility/2006">
      <mc:Choice Requires="x14">
        <control shapeId="2052" r:id="rId5" name="btnShowArt">
          <controlPr defaultSize="0" autoLine="0" r:id="rId6">
            <anchor moveWithCells="1">
              <from>
                <xdr:col>0</xdr:col>
                <xdr:colOff>1089660</xdr:colOff>
                <xdr:row>2</xdr:row>
                <xdr:rowOff>30480</xdr:rowOff>
              </from>
              <to>
                <xdr:col>0</xdr:col>
                <xdr:colOff>2362200</xdr:colOff>
                <xdr:row>2</xdr:row>
                <xdr:rowOff>335280</xdr:rowOff>
              </to>
            </anchor>
          </controlPr>
        </control>
      </mc:Choice>
      <mc:Fallback>
        <control shapeId="2052" r:id="rId5" name="btnShow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A4C1E-1A4F-4245-B341-6E546830CF54}">
  <sheetPr codeName="settings"/>
  <dimension ref="A1:E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20.77734375" customWidth="1"/>
    <col min="2" max="2" width="48" customWidth="1"/>
    <col min="3" max="3" width="53.21875" bestFit="1" customWidth="1"/>
    <col min="4" max="5" width="20.77734375" customWidth="1"/>
  </cols>
  <sheetData>
    <row r="1" spans="1:5" ht="28.8" customHeight="1" x14ac:dyDescent="0.3">
      <c r="A1" s="3" t="s">
        <v>0</v>
      </c>
      <c r="B1" s="3" t="s">
        <v>1</v>
      </c>
      <c r="C1" s="3" t="s">
        <v>2</v>
      </c>
      <c r="D1" s="15" t="s">
        <v>288</v>
      </c>
      <c r="E1" s="16" t="s">
        <v>245</v>
      </c>
    </row>
    <row r="2" spans="1:5" ht="28.8" customHeight="1" x14ac:dyDescent="0.3">
      <c r="A2" s="1" t="s">
        <v>7</v>
      </c>
      <c r="B2" s="1">
        <v>3</v>
      </c>
      <c r="C2" s="2" t="s">
        <v>4</v>
      </c>
      <c r="D2" s="17">
        <v>3</v>
      </c>
      <c r="E2" s="18">
        <v>4</v>
      </c>
    </row>
    <row r="3" spans="1:5" ht="28.8" customHeight="1" thickBot="1" x14ac:dyDescent="0.35">
      <c r="A3" s="1" t="s">
        <v>8</v>
      </c>
      <c r="B3" s="1" t="s">
        <v>5</v>
      </c>
      <c r="C3" s="2" t="s">
        <v>6</v>
      </c>
      <c r="D3" s="19" t="s">
        <v>5</v>
      </c>
      <c r="E3" s="20" t="s">
        <v>291</v>
      </c>
    </row>
    <row r="4" spans="1:5" ht="28.8" customHeight="1" x14ac:dyDescent="0.3">
      <c r="A4" s="1" t="s">
        <v>9</v>
      </c>
      <c r="B4" s="1" t="s">
        <v>3</v>
      </c>
      <c r="C4" s="2" t="s">
        <v>10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freshFileNames">
                <anchor moveWithCells="1" sizeWithCells="1">
                  <from>
                    <xdr:col>3</xdr:col>
                    <xdr:colOff>45720</xdr:colOff>
                    <xdr:row>3</xdr:row>
                    <xdr:rowOff>45720</xdr:rowOff>
                  </from>
                  <to>
                    <xdr:col>3</xdr:col>
                    <xdr:colOff>1379220</xdr:colOff>
                    <xdr:row>3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c64</vt:lpstr>
      <vt:lpstr>vic20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Williams</dc:creator>
  <cp:lastModifiedBy>Stephen Williams</cp:lastModifiedBy>
  <dcterms:created xsi:type="dcterms:W3CDTF">2015-06-05T18:17:20Z</dcterms:created>
  <dcterms:modified xsi:type="dcterms:W3CDTF">2024-09-09T20:42:51Z</dcterms:modified>
</cp:coreProperties>
</file>